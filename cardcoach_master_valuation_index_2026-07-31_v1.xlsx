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Index" sheetId="2" state="visible" r:id="rId4"/>
    <sheet name="Changes" sheetId="3" state="visible" r:id="rId5"/>
    <sheet name="Sources" sheetId="4" state="visible" r:id="rId6"/>
    <sheet name="StagedSQL" sheetId="5" state="visible" r:id="rId7"/>
    <sheet name="Decision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<sst xmlns="http://schemas.openxmlformats.org/spreadsheetml/2006/main" count="734" uniqueCount="422">
  <si>
    <t xml:space="preserve">CardCoach Master Valuation Index — v1, 2026-07-31</t>
  </si>
  <si>
    <t xml:space="preserve">STATUS: APPLIED. Writes landed 2026-07-31 (apply run: avios, aeroplan-R, amex-mr-R, rbc-avion, td, nbc) and 2026-08-01 (Mike's rulings: marriott v2/v3 reconciliation 0.90 + medium-high bump; aeroplan and amex-mr aggressive 3.0000 via worked pack). Verify-to-page outcomes: TD 0.25 and NBC 0.40 applied at exact page rates; BMO and Scene+ verified no-change (no lower channel exists). Deferred/open: aeroplan conservative floor, chart-derived confidence classification, TD promo caveat, BMO cosmetic 0.67, seed resync. This workbook is now the as-applied record (MasterIndex status column); the Changes/StagedSQL sheets reflect the pre-apply proposal. Full trail: APPLY_REPORT_valuation_index_2026-07-31.md, deltas/2026-07-31/, PIPELINE_AND_DECISIONS.md.</t>
  </si>
  <si>
    <t xml:space="preserve">Review artifact for the three-tier (Conservative / Realistic / Aggressive) re-valuation of point_valuations. Nothing in this workbook has been written to the database. On approval, changes go through governance §7 (snapshot → expire-then-insert → delta file) using the StagedSQL sheet.</t>
  </si>
  <si>
    <t xml:space="preserve">Decisions taken 2026-07-31 (Mike, this session) — supersede spread rule v2</t>
  </si>
  <si>
    <t xml:space="preserve">1. Realistic tier = MEDIAN of 3+ independent CAD programme valuations (was: lowest consensus). Mirrors Frequent Miler's 50th-percentile RRV rule and Frugal Flyer's median-of-observations.</t>
  </si>
  <si>
    <t xml:space="preserve">2. Aggressive tier may exceed the highest published valuation ONLY on worked-redemption evidence: named, currently-bookable, fixed-price partner redemptions at the 75th–90th percentile of repeatable value. One-off outliers (documented 7.7 / 11.0 CPP cases) are excluded. Amends §2 condition 3; new source class 'worked_redemption', confidence capped at medium.</t>
  </si>
  <si>
    <t xml:space="preserve">3. Conservative stays anchored to the issuer-published floor (unchanged from v2). For pure-dynamic programs with no contractual floor, the lowest reliable fixed redemption is used and labelled a practical floor.</t>
  </si>
  <si>
    <t xml:space="preserve">Spread rule v3 (as amended today)</t>
  </si>
  <si>
    <t xml:space="preserve">complexity_tier</t>
  </si>
  <si>
    <t xml:space="preserve">conservative</t>
  </si>
  <si>
    <t xml:space="preserve">realistic</t>
  </si>
  <si>
    <t xml:space="preserve">aggressive</t>
  </si>
  <si>
    <t xml:space="preserve">fixed</t>
  </si>
  <si>
    <t xml:space="preserve">Issuer published rate</t>
  </si>
  <si>
    <t xml:space="preserve">Same (collapse is correct)</t>
  </si>
  <si>
    <t xml:space="preserve">Same</t>
  </si>
  <si>
    <t xml:space="preserve">bank</t>
  </si>
  <si>
    <t xml:space="preserve">Lowest issuer-published channel</t>
  </si>
  <si>
    <t xml:space="preserve">Issuer's primary published channel</t>
  </si>
  <si>
    <t xml:space="preserve">Highest issuer-published channel; omit if only one</t>
  </si>
  <si>
    <t xml:space="preserve">variable</t>
  </si>
  <si>
    <t xml:space="preserve">Floor — issuer-stated where published, else documented practical floor</t>
  </si>
  <si>
    <t xml:space="preserve">MEDIAN of 3+ independent CAD programme valuations (v3)</t>
  </si>
  <si>
    <t xml:space="preserve">Worked-redemption ceiling where evidenced (75th–90th pct, capped); else highest published valuation</t>
  </si>
  <si>
    <t xml:space="preserve">legacy</t>
  </si>
  <si>
    <t xml:space="preserve">Frozen at last verified</t>
  </si>
  <si>
    <t xml:space="preserve">Frozen</t>
  </si>
  <si>
    <t xml:space="preserve">Status legend (MasterIndex)</t>
  </si>
  <si>
    <t xml:space="preserve">READY</t>
  </si>
  <si>
    <t xml:space="preserve">Evidence complete and on file (URLs, CAD, 3+ sources). Writable on approval.</t>
  </si>
  <si>
    <t xml:space="preserve">PROPOSED</t>
  </si>
  <si>
    <t xml:space="preserve">Value proposed under v3; prerequisite noted in Changes sheet must clear before write (on-page source re-read per §2b, or worked-redemption evidence pack).</t>
  </si>
  <si>
    <t xml:space="preserve">PENDING-VERIFY</t>
  </si>
  <si>
    <t xml:space="preserve">Floor re-anchor; verify-to-page rule applies — the write value is the EXACT rate the issuer page states, not the research approximation shown. If no lower channel exists on the page, current value stands.</t>
  </si>
  <si>
    <t xml:space="preserve">HELD</t>
  </si>
  <si>
    <t xml:space="preserve">Blocked by governance §2 (source count / currency rule). No write.</t>
  </si>
  <si>
    <t xml:space="preserve">NO CHANGE</t>
  </si>
  <si>
    <t xml:space="preserve">Current values conform to v3 and framework; nothing to do.</t>
  </si>
  <si>
    <t xml:space="preserve">FROZEN</t>
  </si>
  <si>
    <t xml:space="preserve">Legacy program; values frozen.</t>
  </si>
  <si>
    <t xml:space="preserve">INERT</t>
  </si>
  <si>
    <t xml:space="preserve">Registry row kept, no active valuation.</t>
  </si>
  <si>
    <t xml:space="preserve">Review SLA (PROPOSAL_cpp_audit_layer2 §4)</t>
  </si>
  <si>
    <t xml:space="preserve">90 days</t>
  </si>
  <si>
    <t xml:space="preserve">180 days</t>
  </si>
  <si>
    <t xml:space="preserve">365 days</t>
  </si>
  <si>
    <t xml:space="preserve">exempt</t>
  </si>
  <si>
    <t xml:space="preserve">Event triggers override the ladder (framework recommendation 5): award-chart change, transfer-ratio change, statement-credit rate change, program merger/closure → immediate re-valuation regardless of SLA. The SLA ladder is the scheduled backstop, not the only trigger.</t>
  </si>
  <si>
    <t xml:space="preserve">Colour conventions</t>
  </si>
  <si>
    <t xml:space="preserve">Blue text = proposed value that differs from current (editable during review). Yellow fill = needs Mike's attention / verification before write. All CPP figures are cents CAD per point, 4 dp, matching point_valuations.cents_per_point.</t>
  </si>
  <si>
    <t xml:space="preserve">point_program_id</t>
  </si>
  <si>
    <t xml:space="preserve">Program</t>
  </si>
  <si>
    <t xml:space="preserve">Class (proposed)</t>
  </si>
  <si>
    <t xml:space="preserve">Cards</t>
  </si>
  <si>
    <t xml:space="preserve">Scoreable</t>
  </si>
  <si>
    <t xml:space="preserve">Cur Cons</t>
  </si>
  <si>
    <t xml:space="preserve">Cur Real</t>
  </si>
  <si>
    <t xml:space="preserve">Cur Aggr</t>
  </si>
  <si>
    <t xml:space="preserve">Prop Cons</t>
  </si>
  <si>
    <t xml:space="preserve">Prop Real</t>
  </si>
  <si>
    <t xml:space="preserve">Prop Aggr</t>
  </si>
  <si>
    <t xml:space="preserve">Δ Realistic</t>
  </si>
  <si>
    <t xml:space="preserve">Status</t>
  </si>
  <si>
    <t xml:space="preserve">Source tier</t>
  </si>
  <si>
    <t xml:space="preserve">Confidence (C/R/A)</t>
  </si>
  <si>
    <t xml:space="preserve">SLA</t>
  </si>
  <si>
    <t xml:space="preserve">Basis &amp; notes</t>
  </si>
  <si>
    <t xml:space="preserve">aeroplan-points</t>
  </si>
  <si>
    <t xml:space="preserve">Aeroplan Points</t>
  </si>
  <si>
    <t xml:space="preserve">APPLIED (partial)</t>
  </si>
  <si>
    <t xml:space="preserve">tier2 + worked_redemption (aggr)</t>
  </si>
  <si>
    <t xml:space="preserve">MH / MH / M</t>
  </si>
  <si>
    <t xml:space="preserve">90d</t>
  </si>
  <si>
    <t xml:space="preserve">Cons: practical floor ~1.0 (portal/gift card) [VERIFY issuer artifact; fallback keep 1.20]. Real: median{NerdWallet CA 1.60, PoT 2.00 (Q2-26, cut from 2.1 after 06-01 chart), Milesopedia 2.00} = 2.00 — also fixes the 1.27-below-band defect (§8). Aggr: 3.00 = low end of 3.0–3.5 worked-redemption band (ANA YVR–Tokyo J 55k; NA–EU J 60–75k post-06-01); outliers 7.7/11.0 excluded [needs evidence pack].  ||  AS-APPLIED: realistic 2.0000 live 07-31 (3 sources attached, band 1.60-2.00). Aggressive 3.0000 live 08-01 per Mike's in-session ruling (worked pack, 5 sources, band 1.60-6.48, confidence medium). Conservative DEFERRED - stays 1.2000, no ~1.0 issuer floor artifact verified (eStore timed out); open item.</t>
  </si>
  <si>
    <t xml:space="preserve">amex-mr-points</t>
  </si>
  <si>
    <t xml:space="preserve">Membership Rewards Points</t>
  </si>
  <si>
    <t xml:space="preserve">APPLIED</t>
  </si>
  <si>
    <t xml:space="preserve">tier1 (cons) + tier2 / worked (aggr)</t>
  </si>
  <si>
    <t xml:space="preserve">H / MH / M</t>
  </si>
  <si>
    <t xml:space="preserve">Cons: issuer-stated 1,000 pts = $10 (unchanged). Real: median{Milesopedia 1.70, Frugal Flyer 2.00, PoT 2.20} = 2.00 [FF 2.00 needs on-page read per §2b; recommend replacing Mega Miles Broker 2.00 in band — broker figure, §2a risk]. Aggr: 3.00 inherited via 1:1 Aeroplan transfer to the same named sweet spots [evidence pack]. Re-verify Amex→Flying Blue ratio (reportedly 1:1 since early 2026).  ||  AS-APPLIED: realistic 2.0000 live 07-31 (FF 2.00 read on-page into band; MMB demoted to directional). Aggressive 3.0000 live 08-01 per Mike's ruling via the Aeroplan pack (band 1.70-6.48, confidence medium). Conservative unchanged 1.0000.</t>
  </si>
  <si>
    <t xml:space="preserve">rbc-avion-points</t>
  </si>
  <si>
    <t xml:space="preserve">Avion Points (Elite)</t>
  </si>
  <si>
    <t xml:space="preserve">tier1b</t>
  </si>
  <si>
    <t xml:space="preserve">H / H / H</t>
  </si>
  <si>
    <t xml:space="preserve">Cons: portal 100 pts = $1 (unchanged). Real: Air Travel Redemption Schedule floor 2.00 — issuer-published fixed chart (2.00–2.33), typical band; replaces unsourced 1.00. The 2.00 assumes band-optimal fares (ticket priced near the top of its points band); mid-band redemptions yield less — it is the schedule floor under optimal use, not a guarantee. Aggr: schedule max $350/15,000 = 2.3333 exact (was rounded 2.30). Chart-derived: §5 strictly reads medium-low — 07-31 Aventura precedent (dual-confirmed chart = high) applied; confirm. Scoreable = 3 Elite cards (ION cards load_only since 07-29; 10/5 join count inflated by shared reward_program).  ||  AS-APPLIED 07-31: realistic 2.0000 + aggressive 2.3333 live, dual-confirmed on the Visa Infinite and Platinum benefits-guide PDFs. Chart-derived confidence classification (§5 medium-low vs Aventura-precedent high) still flagged for Mike on both rows; held at medium-high.</t>
  </si>
  <si>
    <t xml:space="preserve">rbc-avion-premium-points</t>
  </si>
  <si>
    <t xml:space="preserve">Avion Points (ION/Premium, 172 pts=$1)</t>
  </si>
  <si>
    <t xml:space="preserve">MH</t>
  </si>
  <si>
    <t xml:space="preserve">180d</t>
  </si>
  <si>
    <t xml:space="preserve">Issuer tier rate 172 pts = $1 = 0.5814. ION/ION+ cards, load_only pending migration 0056 tier split.</t>
  </si>
  <si>
    <t xml:space="preserve">rbc-avion-net-purchase-points</t>
  </si>
  <si>
    <t xml:space="preserve">Avion Points (Net Purchase, 100 pts=$1)</t>
  </si>
  <si>
    <t xml:space="preserve">—</t>
  </si>
  <si>
    <t xml:space="preserve">tier1</t>
  </si>
  <si>
    <t xml:space="preserve">H</t>
  </si>
  <si>
    <t xml:space="preserve">Avion Rewards T&amp;C §24 + Signature benefits guide, both on file with URLs (accessed 07-31). Legacy RBC card set.</t>
  </si>
  <si>
    <t xml:space="preserve">avios-points</t>
  </si>
  <si>
    <t xml:space="preserve">Avios Points</t>
  </si>
  <si>
    <t xml:space="preserve">tier2 (5 CAD sources on file)</t>
  </si>
  <si>
    <t xml:space="preserve">MH / MH / MH</t>
  </si>
  <si>
    <t xml:space="preserve">Five named CAD sources with URLs, accessed 2026-07-31: TPC/ca 1.50, Milesopedia 1.70, Finly Wealth 1.90, Frugal Flyer 2.00, PoT 2.00. Cons: band floor 1.50 as practical floor — no issuer CAD floor exists; prior 1.20 traced to the discredited TPC search-summary reading (§2b). Real: median = 1.90. Aggr: highest published 2.00 (no worked CAD sweet spot resolved — framework open item).  ||  AS-APPLIED 07-31: conservative 1.5000 + realistic 1.9000 live (realistic via same-day in-place UPDATE per §7). Aggressive unchanged 2.0000.</t>
  </si>
  <si>
    <t xml:space="preserve">marriott-bonvoy-points</t>
  </si>
  <si>
    <t xml:space="preserve">Marriott Bonvoy Points</t>
  </si>
  <si>
    <t xml:space="preserve">tier2 (4 CAD sources)</t>
  </si>
  <si>
    <t xml:space="preserve">M / MH / MH</t>
  </si>
  <si>
    <t xml:space="preserve">UNBLOCKED 2026-07-31 by directed search (Mike's amendment 4): Frugal Flyer 1.00 CAD read on-page (article updated 2026-06-09) + ThePointCalculator/ca 0.90 CAD read on-page (10,000 pts = $90 CAD). Band {PoT 0.80, Milesopedia 0.90, TPC 0.90, FF 1.00} — median 0.90 with or without TPC. Real: 0.90 median. Aggr: 1.00 highest published (no worked pack). Cons: 0.70 practical floor unchanged — FF and TPC both note dynamic pricing can yield less; FM/Points Path 0.73 stays USD-excluded (directional only). Prereq: §2b on-page re-read of PoT + Milesopedia at write.  ||  AS-APPLIED: apply run skipped on drift (concurrent v2 write 22:58 ET set realistic 0.86). Mike ruled the v2/v3 reconciliation 08-01: realistic 0.9000 live (v3 median of live band {0.86, 0.90, 0.90, 1.00}, 4 sources), aggressive 1.0000; both bumped to medium-high per Mike. Superseded 0.86 row expired 08-01 (duplicate-active window caught and closed same morning).</t>
  </si>
  <si>
    <t xml:space="preserve">cibc-aventura-points</t>
  </si>
  <si>
    <t xml:space="preserve">CIBC Aventura Points</t>
  </si>
  <si>
    <t xml:space="preserve">Floor 4,000 pts = $25 = 0.625 (issuer-published, verified). Real: primary travel channel 1.00; consensus median {PoT 1.0, FF 1.0, Milesopedia 1.2} corroborates. Aggr: Airline Rewards Chart max 2.2857, dual-confirmed on two CIBC pages 2026-07-31.</t>
  </si>
  <si>
    <t xml:space="preserve">td-rewards-points</t>
  </si>
  <si>
    <t xml:space="preserve">TD Rewards Points</t>
  </si>
  <si>
    <t xml:space="preserve">H (pending)</t>
  </si>
  <si>
    <t xml:space="preserve">Cons → re-anchor to the EXACT rate TD's page states for the lowest channel; research figure 0.25 (statement/gift band, 400 pts = $1) is a framework approximation — the page is truth, not this cell. If the page shows no channel below current 0.40, keep 0.40. Real/Aggr: Expedia for TD 200 pts = $1 = 0.50.  ||  AS-APPLIED 07-31: conservative 0.2500 live - T&amp;C §3.3 'minimum value of 400 TD Rewards Points per $1' (exact page rate matched the research figure). Promo-caveat fragility recorded: the 400/$1 is a stated minimum; watch for promotional-rate framing on review.</t>
  </si>
  <si>
    <t xml:space="preserve">bmo-rewards-points</t>
  </si>
  <si>
    <t xml:space="preserve">BMO Rewards Points</t>
  </si>
  <si>
    <t xml:space="preserve">VERIFIED - NO CHANGE</t>
  </si>
  <si>
    <t xml:space="preserve">Cons → re-anchor to the EXACT rate BMO's page states for the lowest channel; research figure 0.33 (statement credit, 300 pts = $1) is an approximation. If no channel below current 0.50, keep 0.50. Real/Aggr: 0.67 Book-Any-Way travel / investment.  ||  VERIFY-TO-PAGE OUTCOME 07-31: BMO's page states no channel below 200 pts/$1 = 0.50 = current; the 0.33 research figure does not exist on the page. Floor stands at 0.5000 - proposed value corrected to as-verified. (0.67 vs 0.6667 cosmetic precision fix remains queued.)</t>
  </si>
  <si>
    <t xml:space="preserve">mbna-rewards-points</t>
  </si>
  <si>
    <t xml:space="preserve">MBNA Rewards Points</t>
  </si>
  <si>
    <t xml:space="preserve">Cash floor 120 pts = $1 = 0.8333, live-verified 2026-07-04. Travel portal 1.00.</t>
  </si>
  <si>
    <t xml:space="preserve">national-bank-points</t>
  </si>
  <si>
    <t xml:space="preserve">National Bank À la carte Points</t>
  </si>
  <si>
    <t xml:space="preserve">MH (pending)</t>
  </si>
  <si>
    <t xml:space="preserve">Cons → re-anchor to the EXACT rate NBC's page states for the lowest channel; research figure 0.40 (statement) is an approximation, and current 0.83 has no recorded basis (§8). If no channel below 0.83, keep 0.83. Real: à la carte travel 1.00; consensus median {Milesopedia 0.9, PoT 1.0, FF 1.0} corroborates. Zero scoreable cards — no scoring impact.  ||  AS-APPLIED 07-31: conservative 0.4000 live - Plan Schedule A repayment $100 = 25,000 pts, uniform 0.40. Cures the unrecorded-basis defect (§8).</t>
  </si>
  <si>
    <t xml:space="preserve">scene-plus-points</t>
  </si>
  <si>
    <t xml:space="preserve">Scene+ Points</t>
  </si>
  <si>
    <t xml:space="preserve">fixed (reclass rejected)</t>
  </si>
  <si>
    <t xml:space="preserve">365d</t>
  </si>
  <si>
    <t xml:space="preserve">Framework flags a ~0.70 statement-credit channel (explicitly approximate) → if the Scene+ page confirms a lower channel, re-anchor cons to the EXACT page-stated rate and reclassify fixed → bank (SLA 180d). If the page shows no channel below 1.00, keep 1.00 flat and fixed class. Real/Aggr: 1.00 travel/grocery/Cineplex.  ||  VERIFY-TO-PAGE OUTCOME 07-31: every stated redemption rate is 1.0 and 'Points for Credit' carries no numeric rate - no lower channel exists. Stays 1.0000 flat, class fixed, SLA 365d. Proposed value corrected to as-verified; reclass rejected.</t>
  </si>
  <si>
    <t xml:space="preserve">blue_rewards</t>
  </si>
  <si>
    <t xml:space="preserve">Blue Rewards (Blue Points)</t>
  </si>
  <si>
    <t xml:space="preserve">1,500 pts = $10 = 0.667 issuer-stated (basis in APPLY_CHECKLIST §3.1). Framework corroborates. Travel-portal redemption rate still unresolved — check at next SLA.</t>
  </si>
  <si>
    <t xml:space="preserve">westjet-dollars-points</t>
  </si>
  <si>
    <t xml:space="preserve">WestJet Dollars</t>
  </si>
  <si>
    <t xml:space="preserve">Fixed 1 WestJet dollar = $1 on WestJet.</t>
  </si>
  <si>
    <t xml:space="preserve">pc-optimum-points</t>
  </si>
  <si>
    <t xml:space="preserve">PC Optimum Points</t>
  </si>
  <si>
    <t xml:space="preserve">10,000 pts = $10 fixed.</t>
  </si>
  <si>
    <t xml:space="preserve">amazon-rewards-points</t>
  </si>
  <si>
    <t xml:space="preserve">Amazon.ca Rewards Points</t>
  </si>
  <si>
    <t xml:space="preserve">Out of framework scope; issuer-published fixed rate.</t>
  </si>
  <si>
    <t xml:space="preserve">moi-points</t>
  </si>
  <si>
    <t xml:space="preserve">Moi Points</t>
  </si>
  <si>
    <t xml:space="preserve">Out of framework scope.</t>
  </si>
  <si>
    <t xml:space="preserve">more-rewards-points</t>
  </si>
  <si>
    <t xml:space="preserve">More Rewards Points</t>
  </si>
  <si>
    <t xml:space="preserve">Channel-based micro-spread retained (7,000 pts = $10 low channel). Out of framework scope.</t>
  </si>
  <si>
    <t xml:space="preserve">hsbc-rewards-points</t>
  </si>
  <si>
    <t xml:space="preserve">HSBC Rewards Points</t>
  </si>
  <si>
    <t xml:space="preserve">L</t>
  </si>
  <si>
    <t xml:space="preserve">Program closed — HSBC→RBC completed 2024-03-28. Frozen; archive when HSBC records are formally retired.</t>
  </si>
  <si>
    <t xml:space="preserve">airmiles-points</t>
  </si>
  <si>
    <t xml:space="preserve">AIR MILES</t>
  </si>
  <si>
    <t xml:space="preserve">retired</t>
  </si>
  <si>
    <t xml:space="preserve">Rebranded Blue Rewards (95 mi = 1,500 Blue Points, converted 2026-06-01). Valuations expired 2026-07-29; registry kept (FK history + closed BMO AM World MC).</t>
  </si>
  <si>
    <t xml:space="preserve">desjardins-odyssey-points</t>
  </si>
  <si>
    <t xml:space="preserve">Odyssey (BONUSDOLLARS)</t>
  </si>
  <si>
    <t xml:space="preserve">Framework datum if revived: $1 = 1 BONUSDOLLAR travel/investment (~1.0); no tiering.</t>
  </si>
  <si>
    <t xml:space="preserve">triangle-points</t>
  </si>
  <si>
    <t xml:space="preserve">Triangle Rewards (CT Money)</t>
  </si>
  <si>
    <t xml:space="preserve">Parked on per-litre rate_unit enum (WORKING_NOTES #10). Framework: CT Money $1 = $1 fixed cash when revived; single value across tiers.</t>
  </si>
  <si>
    <t xml:space="preserve">Confidence codes: H=high, MH=medium-high, M=medium, L=low. All values cents CAD per point. Current values = live point_valuations rows with valid_to IS NULL, read 2026-07-31. Avion card counts: join via shared reward_program inflates to 10/5; Elite scoreable = 3 per governance §11.</t>
  </si>
  <si>
    <t xml:space="preserve">Tier</t>
  </si>
  <si>
    <t xml:space="preserve">Current</t>
  </si>
  <si>
    <t xml:space="preserve">Proposed</t>
  </si>
  <si>
    <t xml:space="preserve">Rule applied</t>
  </si>
  <si>
    <t xml:space="preserve">Src1</t>
  </si>
  <si>
    <t xml:space="preserve">Src2</t>
  </si>
  <si>
    <t xml:space="preserve">Src3</t>
  </si>
  <si>
    <t xml:space="preserve">Src4</t>
  </si>
  <si>
    <t xml:space="preserve">Src5</t>
  </si>
  <si>
    <t xml:space="preserve">Band low</t>
  </si>
  <si>
    <t xml:space="preserve">Band high</t>
  </si>
  <si>
    <t xml:space="preserve">Median</t>
  </si>
  <si>
    <t xml:space="preserve"># srcs</t>
  </si>
  <si>
    <t xml:space="preserve">Rule check</t>
  </si>
  <si>
    <t xml:space="preserve">Prerequisite before write</t>
  </si>
  <si>
    <t xml:space="preserve">Scoring impact</t>
  </si>
  <si>
    <t xml:space="preserve">v3 median of CAD consensus</t>
  </si>
  <si>
    <t xml:space="preserve">Re-read NerdWallet CA / PoT / Milesopedia figures on the publishers' pages (§2b) and insert the three source rows with the value.</t>
  </si>
  <si>
    <t xml:space="preserve">+57.5% on the default scoring tier across 10 scoreable Aeroplan cards. Partially reverses the 07-29 cut (2.00→1.27); consistent with post-devaluation consensus.</t>
  </si>
  <si>
    <t xml:space="preserve">worked-redemption ceiling (amended cond. 3)</t>
  </si>
  <si>
    <t xml:space="preserve">Build the worked-redemption evidence pack: named route, points cost from the live chart, dated cash-fare snapshot, computed CPP — e.g. ANA YVR–Tokyo J 55k (~3.3), NA–EU J 60–75k (~3.0). Record as source class 'worked_redemption'; extend observed_high so the stored value sits inside the band.</t>
  </si>
  <si>
    <t xml:space="preserve">Aggressive-tier display only; default tier unaffected.</t>
  </si>
  <si>
    <t xml:space="preserve">floor (practical)</t>
  </si>
  <si>
    <t xml:space="preserve">Verify the ~1.0 portal/gift-card artifact on an issuer page (Tier 1b). If it does not verify, keep 1.20.</t>
  </si>
  <si>
    <t xml:space="preserve">Conservative-tier display only.</t>
  </si>
  <si>
    <t xml:space="preserve">Read Frugal Flyer 2.00 on the publisher's page (§2b) and add as source row; recommend demoting Mega Miles Broker 2.00 to directional note (§2a broker-figure risk).</t>
  </si>
  <si>
    <t xml:space="preserve">+17.6% across 6 scoreable Amex cards.</t>
  </si>
  <si>
    <t xml:space="preserve">worked-redemption ceiling via 1:1 Aeroplan</t>
  </si>
  <si>
    <t xml:space="preserve">Same evidence pack as Aeroplan aggressive (transfer 1:1 named in each worked example). Also re-verify Amex→Flying Blue 1:1 ratio.</t>
  </si>
  <si>
    <t xml:space="preserve">Aggressive-tier display only.</t>
  </si>
  <si>
    <t xml:space="preserve">tier1b issuer chart (schedule floor; assumes band-optimal fares — mid-band yields less)</t>
  </si>
  <si>
    <t xml:space="preserve">Attach the Air Travel Redemption Schedule URL + one corroborating issuer artifact (dual confirmation). Confirm confidence classification (chart-derived: §5 says medium-low; 07-31 Aventura precedent says high).</t>
  </si>
  <si>
    <t xml:space="preserve">+100% on the default tier across 3 scoreable Avion Elite cards. Material ranking move vs cashback — flag in release notes.</t>
  </si>
  <si>
    <t xml:space="preserve">tier1b chart max ($350/15,000)</t>
  </si>
  <si>
    <t xml:space="preserve">Same artifacts as above. Cosmetic precision fix 2.30 → 2.3333.</t>
  </si>
  <si>
    <t xml:space="preserve">Negligible.</t>
  </si>
  <si>
    <t xml:space="preserve">floor = band floor (no issuer CAD floor)</t>
  </si>
  <si>
    <t xml:space="preserve">None — five CAD sources with URLs already on file (accessed 2026-07-31). Prior 1.20 was the discredited TPC search-summary reading.</t>
  </si>
  <si>
    <t xml:space="preserve">Conservative-tier display only, 1 card.</t>
  </si>
  <si>
    <t xml:space="preserve">None — evidence complete. Same-day rule: the current 1.50 row has valid_from 2026-07-31, so a write today is an in-place UPDATE, not expire-then-insert (§7).</t>
  </si>
  <si>
    <t xml:space="preserve">+26.7% on 1 scoreable card (RBC BA Visa Infinite).</t>
  </si>
  <si>
    <t xml:space="preserve">v3 median of CAD consensus (unblocked by directed search)</t>
  </si>
  <si>
    <t xml:space="preserve">Directed search 2026-07-31 per amendment 4: priority-1 Frugal Flyer yielded 1.00 CAD read on-page (article updated 06-09); TPC/ca 0.90 CAD also read on-page. Median 0.90 with or without TPC. Remaining prereq: §2b on-page re-read of PoT 0.80 + Milesopedia 0.90, then insert 4 source rows. FM 0.73 stays USD-excluded.</t>
  </si>
  <si>
    <t xml:space="preserve">+28.6% on the default tier across 2 scoreable cards.</t>
  </si>
  <si>
    <t xml:space="preserve">highest published CAD valuation (no worked pack)</t>
  </si>
  <si>
    <t xml:space="preserve">Same source set and prereq as realistic row.</t>
  </si>
  <si>
    <t xml:space="preserve">bank: lowest issuer channel — VERIFY-TO-PAGE</t>
  </si>
  <si>
    <t xml:space="preserve">Read TD's redemption page and re-anchor to the EXACT rate it states for the lowest channel. Research figure 0.25 is a framework approximation — the page is truth, not this cell. If the page shows no channel below 0.40, keep 0.40.</t>
  </si>
  <si>
    <t xml:space="preserve">Read BMO's redemption page and re-anchor to the EXACT page-stated rate. Research figure 0.33 is an approximation. If no channel below 0.50, keep 0.50.</t>
  </si>
  <si>
    <t xml:space="preserve">Read NBC's redemption page and re-anchor to the EXACT page-stated rate. Research figure 0.40 is an approximation; current 0.83 has no recorded basis (§8). If no channel below 0.83, keep 0.83.</t>
  </si>
  <si>
    <t xml:space="preserve">None — 0 scoreable cards.</t>
  </si>
  <si>
    <t xml:space="preserve">reclass fixed→bank if lower channel confirms — VERIFY-TO-PAGE</t>
  </si>
  <si>
    <t xml:space="preserve">Read the Scene+ redemption page. Research figure ~0.70 was flagged approximate. If a channel below 1.00 exists, re-anchor to the EXACT page-stated rate and reclassify fixed→bank (SLA 180d). If not, keep 1.00 flat and fixed class.</t>
  </si>
  <si>
    <t xml:space="preserve">Conservative-tier display only, 6 scoreable cards.</t>
  </si>
  <si>
    <t xml:space="preserve">Source</t>
  </si>
  <si>
    <t xml:space="preserve">Type</t>
  </si>
  <si>
    <t xml:space="preserve">Figure (CAD cpp)</t>
  </si>
  <si>
    <t xml:space="preserve">Access / verify date</t>
  </si>
  <si>
    <t xml:space="preserve">On page? (§2b)</t>
  </si>
  <si>
    <t xml:space="preserve">In band?</t>
  </si>
  <si>
    <t xml:space="preserve">URL / artifact</t>
  </si>
  <si>
    <t xml:space="preserve">Notes</t>
  </si>
  <si>
    <t xml:space="preserve">NerdWallet Canada</t>
  </si>
  <si>
    <t xml:space="preserve">programme valuation</t>
  </si>
  <si>
    <t xml:space="preserve">2026-07-31 (framework)</t>
  </si>
  <si>
    <t xml:space="preserve">NO — re-read required</t>
  </si>
  <si>
    <t xml:space="preserve">yes</t>
  </si>
  <si>
    <t xml:space="preserve">nerdwallet.com/ca — points valuations</t>
  </si>
  <si>
    <t xml:space="preserve">Data-driven method statement on page.</t>
  </si>
  <si>
    <t xml:space="preserve">Prince of Travel</t>
  </si>
  <si>
    <t xml:space="preserve">princeoftravel.com/points-valuations/</t>
  </si>
  <si>
    <t xml:space="preserve">Q2-2026; cut from 2.1 after 2026-06-01 chart increase.</t>
  </si>
  <si>
    <t xml:space="preserve">Milesopedia</t>
  </si>
  <si>
    <t xml:space="preserve">milesopedia.com/en/points-miles-value-canada/</t>
  </si>
  <si>
    <t xml:space="preserve">May-2026 semi-annual.</t>
  </si>
  <si>
    <t xml:space="preserve">Issuer practical floor (portal/gift)</t>
  </si>
  <si>
    <t xml:space="preserve">channel rate — floor only</t>
  </si>
  <si>
    <t xml:space="preserve">NO — Tier 1b artifact needed</t>
  </si>
  <si>
    <t xml:space="preserve">n/a</t>
  </si>
  <si>
    <t xml:space="preserve">[VERIFY: Aeroplan eStore / gift-card page]</t>
  </si>
  <si>
    <t xml:space="preserve">Feeds conservative only; never in the band (§2a).</t>
  </si>
  <si>
    <t xml:space="preserve">Worked: ANA YVR/SEA–Tokyo J, 55,000 pts</t>
  </si>
  <si>
    <t xml:space="preserve">worked_redemption</t>
  </si>
  <si>
    <t xml:space="preserve">NO — evidence pack</t>
  </si>
  <si>
    <t xml:space="preserve">worked band</t>
  </si>
  <si>
    <t xml:space="preserve">[Aeroplan partner chart + dated fare snapshot]</t>
  </si>
  <si>
    <t xml:space="preserve">Repeatable partner sweet spot; availability-dependent.</t>
  </si>
  <si>
    <t xml:space="preserve">Worked: NA–Europe J, 60–75k pts (post-06-01)</t>
  </si>
  <si>
    <t xml:space="preserve">[chart + fare snapshot]</t>
  </si>
  <si>
    <t xml:space="preserve">75th–90th pct target; cap stored value at 3.00.</t>
  </si>
  <si>
    <t xml:space="preserve">Worked (economy benchmark): Turkish RT</t>
  </si>
  <si>
    <t xml:space="preserve">worked_redemption (corroborating)</t>
  </si>
  <si>
    <t xml:space="preserve">2026-01 (Frugal Flyer)</t>
  </si>
  <si>
    <t xml:space="preserve">NO — re-read</t>
  </si>
  <si>
    <t xml:space="preserve">frugalflyer.ca worked example</t>
  </si>
  <si>
    <t xml:space="preserve">FF: 'about what you should expect for an economy booking'.</t>
  </si>
  <si>
    <t xml:space="preserve">EXCLUDED outliers: FF 7.7 (YYZ–YVR J), 11.0 (Athens J)</t>
  </si>
  <si>
    <t xml:space="preserve">outlier — excluded</t>
  </si>
  <si>
    <t xml:space="preserve">excluded</t>
  </si>
  <si>
    <t xml:space="preserve">frugalflyer.ca</t>
  </si>
  <si>
    <t xml:space="preserve">Documented lucky one-offs; excluded by decision.</t>
  </si>
  <si>
    <t xml:space="preserve">2026-07-31</t>
  </si>
  <si>
    <t xml:space="preserve">YES — on file</t>
  </si>
  <si>
    <t xml:space="preserve">Already in point_valuation_sources.</t>
  </si>
  <si>
    <t xml:space="preserve">Corrected per §2b (was mis-recorded 2.00 from a search summary).</t>
  </si>
  <si>
    <t xml:space="preserve">Frugal Flyer</t>
  </si>
  <si>
    <t xml:space="preserve">2026-01 (framework)</t>
  </si>
  <si>
    <t xml:space="preserve">frugalflyer.ca/blog/how-much-are-frequent-flyer-miles-worth/</t>
  </si>
  <si>
    <t xml:space="preserve">Proposed as third band source, replacing MMB.</t>
  </si>
  <si>
    <t xml:space="preserve">Mega Miles Broker</t>
  </si>
  <si>
    <t xml:space="preserve">broker figure — demote</t>
  </si>
  <si>
    <t xml:space="preserve">on file</t>
  </si>
  <si>
    <t xml:space="preserve">demote</t>
  </si>
  <si>
    <t xml:space="preserve">megamilesbroker.com/guides/canadian-loyalty-points-value</t>
  </si>
  <si>
    <t xml:space="preserve">§2a: broker; keep as directional corroboration only.</t>
  </si>
  <si>
    <t xml:space="preserve">Issuer floor: 1,000 pts = $10</t>
  </si>
  <si>
    <t xml:space="preserve">tier1 issuer-stated</t>
  </si>
  <si>
    <t xml:space="preserve">verified (batch-1 07-27)</t>
  </si>
  <si>
    <t xml:space="preserve">YES</t>
  </si>
  <si>
    <t xml:space="preserve">amex.ca — Use Points for Purchases</t>
  </si>
  <si>
    <t xml:space="preserve">Conservative anchor.</t>
  </si>
  <si>
    <t xml:space="preserve">Transfer ratios incl. Flying Blue</t>
  </si>
  <si>
    <t xml:space="preserve">ratio check</t>
  </si>
  <si>
    <t xml:space="preserve">NO — re-verify</t>
  </si>
  <si>
    <t xml:space="preserve">amex.ca transfer partners page</t>
  </si>
  <si>
    <t xml:space="preserve">Framework: FB now 1:1 (early 2026, was 4:3). Aeroplan 1:1 unchanged.</t>
  </si>
  <si>
    <t xml:space="preserve">RBC Air Travel Redemption Schedule</t>
  </si>
  <si>
    <t xml:space="preserve">tier1b issuer chart</t>
  </si>
  <si>
    <t xml:space="preserve">NO — attach URL + dual-confirm</t>
  </si>
  <si>
    <t xml:space="preserve">[RBC Avion redemption schedule page]</t>
  </si>
  <si>
    <t xml:space="preserve">Bands 2.00–2.3333; realistic = 2.00 floor of schedule, aggressive = max.</t>
  </si>
  <si>
    <t xml:space="preserve">Portal rate 100 pts = $1</t>
  </si>
  <si>
    <t xml:space="preserve">tier1b channel</t>
  </si>
  <si>
    <t xml:space="preserve">verified 07-29</t>
  </si>
  <si>
    <t xml:space="preserve">avionrewards.com</t>
  </si>
  <si>
    <t xml:space="preserve">ThePointCalculator (/ca/)</t>
  </si>
  <si>
    <t xml:space="preserve">thepointcalculator.com/ca/airline/britishairways/…</t>
  </si>
  <si>
    <t xml:space="preserve">CAD page; §2b correction of the phantom 1.20.</t>
  </si>
  <si>
    <t xml:space="preserve">Finly Wealth</t>
  </si>
  <si>
    <t xml:space="preserve">finlywealth.com/points-calculator/avios</t>
  </si>
  <si>
    <t xml:space="preserve">Frugal Flyer (hotel loyalty points article)</t>
  </si>
  <si>
    <t xml:space="preserve">YES — read on-page</t>
  </si>
  <si>
    <t xml:space="preserve">frugalflyer.ca/blog/how-much-are-hotel-loyalty-program-points-worth/</t>
  </si>
  <si>
    <t xml:space="preserve">Priority-1 candidate. Page states: 'We value Marriott Bonvoy points at 1 cent per point CAD'. Article updated 2026-06-09.</t>
  </si>
  <si>
    <t xml:space="preserve">thepointcalculator.com/ca/marriott-bonvoy-points/marriott-points-value/</t>
  </si>
  <si>
    <t xml:space="preserve">'Worth about 0.9 cents each towards hotel stays (10,000 points = $90 CAD)'. 4th source; median unchanged with or without it.</t>
  </si>
  <si>
    <t xml:space="preserve">2026-07-29</t>
  </si>
  <si>
    <t xml:space="preserve">NO — re-read required (§2b)</t>
  </si>
  <si>
    <t xml:space="preserve">Attributable from 07-29 pass; re-read at write.</t>
  </si>
  <si>
    <t xml:space="preserve">Frequent Miler / Points Path (~80k searches)</t>
  </si>
  <si>
    <t xml:space="preserve">EXCLUDED — USD</t>
  </si>
  <si>
    <t xml:space="preserve">2026 (framework)</t>
  </si>
  <si>
    <t xml:space="preserve">frequentmiler.com — RRV</t>
  </si>
  <si>
    <t xml:space="preserve">Currency rule §2a: USD figure, not convertible. Directional floor corroboration only.</t>
  </si>
  <si>
    <t xml:space="preserve">TD statement/gift channel 400 pts = $1</t>
  </si>
  <si>
    <t xml:space="preserve">tier1b channel — VERIFY</t>
  </si>
  <si>
    <t xml:space="preserve">NO</t>
  </si>
  <si>
    <t xml:space="preserve">[td.com rewards redemption page]</t>
  </si>
  <si>
    <t xml:space="preserve">Conservative re-anchor; fallback 0.40.</t>
  </si>
  <si>
    <t xml:space="preserve">BMO statement credit 300 pts = $1</t>
  </si>
  <si>
    <t xml:space="preserve">[bmo.com rewards page]</t>
  </si>
  <si>
    <t xml:space="preserve">Fallback 0.50.</t>
  </si>
  <si>
    <t xml:space="preserve">NBC statement channel</t>
  </si>
  <si>
    <t xml:space="preserve">[nbc.ca à la carte rewards page]</t>
  </si>
  <si>
    <t xml:space="preserve">Current 0.83 basis unrecorded.</t>
  </si>
  <si>
    <t xml:space="preserve">Scene+ statement-credit channel</t>
  </si>
  <si>
    <t xml:space="preserve">[sceneplus.ca redemption page]</t>
  </si>
  <si>
    <t xml:space="preserve">Also triggers fixed→bank reclass.</t>
  </si>
  <si>
    <t xml:space="preserve">CIBC Airline Rewards Chart ×2 pages</t>
  </si>
  <si>
    <t xml:space="preserve">tier1b — on file</t>
  </si>
  <si>
    <t xml:space="preserve">YES — dual</t>
  </si>
  <si>
    <t xml:space="preserve">cibc.com (flight search + Infinite Privilege pages)</t>
  </si>
  <si>
    <t xml:space="preserve">Aggressive anchor, dual-confirmed.</t>
  </si>
  <si>
    <t xml:space="preserve">Avion T&amp;C §24 + Signature benefits guide</t>
  </si>
  <si>
    <t xml:space="preserve">tier1 — on file</t>
  </si>
  <si>
    <t xml:space="preserve">terms.silver.avionrewards.com / rbcroyalbank.com PDFs</t>
  </si>
  <si>
    <t xml:space="preserve">Flat 1.00, all tiers.</t>
  </si>
  <si>
    <t xml:space="preserve">1,500 Blue Points = $10</t>
  </si>
  <si>
    <t xml:space="preserve">2026-07-03</t>
  </si>
  <si>
    <t xml:space="preserve">APPLY_CHECKLIST §3.1 trail</t>
  </si>
  <si>
    <t xml:space="preserve">Travel-portal rate unresolved — next SLA.</t>
  </si>
  <si>
    <t xml:space="preserve">STAGED SQL — DO NOT RUN. Templates per governance §7. Generated 2026-07-31.</t>
  </si>
  <si>
    <t xml:space="preserve">-- Preconditions, in order:</t>
  </si>
  <si>
    <t xml:space="preserve">--   1. Approval of this workbook (values + rule decisions on ReadMe).</t>
  </si>
  <si>
    <t xml:space="preserve">--   2. PENDING-VERIFY / PROPOSED prerequisites cleared per Changes sheet; READY rows (Avios) need none.</t>
  </si>
  <si>
    <t xml:space="preserve">--   3. Session snapshot BEFORE first write: CREATE TABLE point_valuations_snapshot_&lt;YYYYMMDD&gt; AS SELECT * FROM point_valuations;</t>
  </si>
  <si>
    <t xml:space="preserve">--   4. Pin &lt;WRITE_DATE&gt; as an explicit DATE literal — never CURRENT_DATE (UTC-rollover trap, §7).</t>
  </si>
  <si>
    <t xml:space="preserve">--   5. Cut a delta file per program: &lt;YYYY-MM-DD&gt;__&lt;program-slug&gt;__cpp.sql. Verify after the FIRST write.</t>
  </si>
  <si>
    <t xml:space="preserve">--   6. Same-day rule: any active row whose valid_from = &lt;WRITE_DATE&gt; is revised by in-place UPDATE, not expire-then-insert</t>
  </si>
  <si>
    <t xml:space="preserve">--      (CHECK valid_to &gt; valid_from forbids same-day expiry). Guard: assert valid_from &lt; &lt;WRITE_DATE&gt; before expiring.</t>
  </si>
  <si>
    <t xml:space="preserve">--   7. Column list below is indicative — verify against live schema before running. Update observed_low/high and</t>
  </si>
  <si>
    <t xml:space="preserve">--      source_count, and insert point_valuation_sources rows in the same transaction so tier2 constraints hold.</t>
  </si>
  <si>
    <t xml:space="preserve">1) AVIOS — READY (5 CAD sources on file; realistic row is same-day if written 2026-07-31)</t>
  </si>
  <si>
    <t xml:space="preserve">BEGIN;</t>
  </si>
  <si>
    <t xml:space="preserve">-- conservative 1.20 -&gt; 1.50 (valid_from 2026-07-29, expire-then-insert OK)</t>
  </si>
  <si>
    <t xml:space="preserve">UPDATE point_valuations SET valid_to = DATE '&lt;WRITE_DATE&gt;'</t>
  </si>
  <si>
    <t xml:space="preserve">  WHERE point_program_id='avios-points' AND valuation_tier='conservative' AND valid_to IS NULL;  -- expect 1</t>
  </si>
  <si>
    <t xml:space="preserve">INSERT INTO point_valuations (point_program_id, valuation_tier, cents_per_point, currency, valid_from,</t>
  </si>
  <si>
    <t xml:space="preserve">    complexity_tier, confidence, source_tier, sources_verified_at, observed_low, observed_high, source_count,</t>
  </si>
  <si>
    <t xml:space="preserve">    source_notes, review_notes)</t>
  </si>
  <si>
    <t xml:space="preserve">  VALUES ('avios-points','conservative',1.5000,'CAD',DATE '&lt;WRITE_DATE&gt;','variable','medium-high','tier2',</t>
  </si>
  <si>
    <t xml:space="preserve">    DATE '2026-07-31',1.50,2.00,5,</t>
  </si>
  <si>
    <t xml:space="preserve">    'Practical floor = band floor 1.50; no issuer CAD floor. 5 CAD sources: TPC/ca 1.50, Milesopedia 1.70,</t>
  </si>
  <si>
    <t xml:space="preserve">     Finly 1.90, Frugal Flyer 2.00, PoT 2.00 (all accessed 2026-07-31).',</t>
  </si>
  <si>
    <t xml:space="preserve">    'Spread rule v3 (2026-07-31): prior 1.20 traced to discredited TPC search-summary reading (§2b).');</t>
  </si>
  <si>
    <t xml:space="preserve">-- realistic 1.50 -&gt; 1.90: IF WRITE_DATE = 2026-07-31 use in-place UPDATE (row created 2026-07-31):</t>
  </si>
  <si>
    <t xml:space="preserve">UPDATE point_valuations SET cents_per_point=1.9000, updated_at=now(),</t>
  </si>
  <si>
    <t xml:space="preserve">    review_notes = review_notes || ' | Superseded same-day: v3 median rule -&gt; 1.90 (median of 5).'</t>
  </si>
  <si>
    <t xml:space="preserve">  WHERE point_program_id='avios-points' AND valuation_tier='realistic' AND valid_to IS NULL;  -- expect 1</t>
  </si>
  <si>
    <t xml:space="preserve">-- (If writing on a later date, use expire-then-insert as above.)</t>
  </si>
  <si>
    <t xml:space="preserve">COMMIT;</t>
  </si>
  <si>
    <t xml:space="preserve">2) AEROPLAN — after §2b re-reads (realistic) and evidence pack (aggressive); conservative only if floor artifact verifies</t>
  </si>
  <si>
    <t xml:space="preserve">-- realistic 1.27 -&gt; 2.0000  (median{1.60, 2.00, 2.00}; observed 1.60–2.00; 3 sources; medium-high; tier2)</t>
  </si>
  <si>
    <t xml:space="preserve">-- aggressive 2.00 -&gt; 3.0000 (worked_redemption band 3.0–3.5, stored at cap 3.00; observed_high extended to 3.50;</t>
  </si>
  <si>
    <t xml:space="preserve">--                            confidence medium; requires amended condition 3 recorded in governance doc)</t>
  </si>
  <si>
    <t xml:space="preserve">-- conservative 1.20 -&gt; 1.0000 (practical floor [VERIFY]; else leave at 1.20)</t>
  </si>
  <si>
    <t xml:space="preserve">-- Pattern identical to Avios expire-then-insert; insert 3 valuation-source rows (realistic) + worked-redemption rows (aggressive).</t>
  </si>
  <si>
    <t xml:space="preserve">3) AMEX MR — after FF on-page read; aggressive with Aeroplan evidence pack</t>
  </si>
  <si>
    <t xml:space="preserve">-- realistic 1.70 -&gt; 2.0000 (median{Milesopedia 1.70, FF 2.00, PoT 2.20}); replace MMB with FF in band; MMB demoted in source_notes.</t>
  </si>
  <si>
    <t xml:space="preserve">-- aggressive 2.20 -&gt; 3.0000 (1:1 Aeroplan inherit; same worked pack; confidence medium).</t>
  </si>
  <si>
    <t xml:space="preserve">-- conservative unchanged 1.0000.</t>
  </si>
  <si>
    <t xml:space="preserve">4) RBC AVION (Elite) — after schedule URL attached + dual confirmation</t>
  </si>
  <si>
    <t xml:space="preserve">-- realistic 1.00 -&gt; 2.0000 (schedule floor, tier1b); aggressive 2.30 -&gt; 2.3333 (schedule max $350/15,000).</t>
  </si>
  <si>
    <t xml:space="preserve">-- Confidence per Mike's call on chart-derived classification (§5 note).</t>
  </si>
  <si>
    <t xml:space="preserve">5) MARRIOTT — after §2b re-reads of PoT + Milesopedia (FF and TPC/ca already read on-page 2026-07-31)</t>
  </si>
  <si>
    <t xml:space="preserve">-- realistic  0.70 -&gt; 0.9000 (median{0.80, 0.90, 0.90, 1.00}; observed 0.80–1.00; 4 sources; medium-high; tier2)</t>
  </si>
  <si>
    <t xml:space="preserve">-- aggressive 0.90 -&gt; 1.0000 (highest published, Frugal Flyer CAD; inside band; medium-high; tier2)</t>
  </si>
  <si>
    <t xml:space="preserve">-- conservative unchanged 0.7000 (practical floor). Insert 4 valuation-source rows incl. on-page quotes + access dates.</t>
  </si>
  <si>
    <t xml:space="preserve">6) BANK FLOORS — VERIFY-TO-PAGE (amendment 1): write the EXACT rate the issuer page states, not the research figure</t>
  </si>
  <si>
    <t xml:space="preserve">-- Research figures are framework approximations. Procedure per program: read the issuer redemption page, take the exact</t>
  </si>
  <si>
    <t xml:space="preserve">-- lowest-channel rate it states, write THAT value. If the page shows no channel below current, keep current.</t>
  </si>
  <si>
    <t xml:space="preserve">-- td-rewards-points        conservative 0.40 -&gt; page-stated rate (research approx 0.25)</t>
  </si>
  <si>
    <t xml:space="preserve">-- bmo-rewards-points       conservative 0.50 -&gt; page-stated rate (research approx 0.33)</t>
  </si>
  <si>
    <t xml:space="preserve">-- national-bank-points     conservative 0.83 -&gt; page-stated rate (research approx 0.40; current basis unrecorded)</t>
  </si>
  <si>
    <t xml:space="preserve">-- scene-plus-points        conservative 1.00 -&gt; page-stated rate (research approx ~0.70, flagged approximate)</t>
  </si>
  <si>
    <t xml:space="preserve">--                          + complexity_tier 'fixed' -&gt; 'bank' ONLY if a lower channel confirms</t>
  </si>
  <si>
    <t xml:space="preserve">7) NO WRITES: aventura, mbna, all fixed programs, avion-premium, avion-net-purchase, hsbc (frozen), inert programs.</t>
  </si>
  <si>
    <t xml:space="preserve">Date</t>
  </si>
  <si>
    <t xml:space="preserve">Decision</t>
  </si>
  <si>
    <t xml:space="preserve">Draft entry (append to PIPELINE_AND_DECISIONS.md / governance doc on approval)</t>
  </si>
  <si>
    <t xml:space="preserve">Spread rule v3 — realistic = median</t>
  </si>
  <si>
    <t xml:space="preserve">Realistic for `variable` programs = MEDIAN of 3+ independent CAD programme valuations, superseding v2's lowest-consensus rule. Why: aligns with the two documented industry methodologies (Frequent Miler 50th-percentile RRV; Frugal Flyer median-of-observations) per the 2026-07 valuation research; the lowest-consensus rule systematically understated flexible currencies on the default scoring tier. v2's reasoning (never overstate) is retained at the conservative tier, which stays the floor.</t>
  </si>
  <si>
    <t xml:space="preserve">§2 condition 3 amended — worked-redemption ceiling</t>
  </si>
  <si>
    <t xml:space="preserve">Aggressive for `variable` programs may exceed the highest published valuation only on worked-redemption evidence: named, currently-bookable, fixed-price partner redemptions, 75th–90th percentile of repeatable value, stored at or below the worked band, documented one-off outliers excluded. New source class `worked_redemption`; confidence cap `medium`. Each worked example records route, points cost from the live chart, dated cash-fare snapshot, computed CPP.</t>
  </si>
  <si>
    <t xml:space="preserve">Aeroplan re-anchor</t>
  </si>
  <si>
    <t xml:space="preserve">Conservative 1.20→1.00 (practical floor, pending Tier 1b artifact), realistic 1.27→2.00 (median; also cures the below-band defect from §8), aggressive 2.00→3.00 (worked cap). </t>
  </si>
  <si>
    <t xml:space="preserve">Amex MR re-anchor</t>
  </si>
  <si>
    <t xml:space="preserve">Realistic 1.70→2.00 (median{1.70, 2.00, 2.20}; Frugal Flyer added as band source, Mega Miles Broker demoted to directional per §2a), aggressive 2.20→3.00 via 1:1 Aeroplan.</t>
  </si>
  <si>
    <t xml:space="preserve">RBC Avion Elite realistic to schedule</t>
  </si>
  <si>
    <t xml:space="preserve">Realistic 1.00→2.00 anchored to the issuer-published Air Travel Redemption Schedule floor (tier1b); the 2.00 assumes band-optimal fares — mid-band redemptions yield less, so it is the schedule floor under optimal use, not a guarantee. Aggressive 2.30→2.3333 exact chart max. Confidence classification of chart-derived rates to be settled (§5 wording vs 07-31 Aventura precedent).</t>
  </si>
  <si>
    <t xml:space="preserve">Avios unblocked; conservative re-anchored</t>
  </si>
  <si>
    <t xml:space="preserve">Five CAD sources on file (1.50–2.00) satisfy §2 condition 2. Conservative 1.20→1.50 (band floor as practical floor; prior figure traced to discredited §2b reading), realistic 1.50→1.90 (median).</t>
  </si>
  <si>
    <t xml:space="preserve">Marriott Bonvoy unblocked by directed search</t>
  </si>
  <si>
    <t xml:space="preserve">Directed search per Mike's amendment 4 (priority order: Frugal Flyer hotel article → Rewards Canada → TPC/ca). Priority-1 Frugal Flyer yielded 1.00 CAD, read on-page (article updated 2026-06-09); TPC/ca 0.90 CAD also read on-page. Band {PoT 0.80, Milesopedia 0.90, TPC 0.90, FF 1.00}, median 0.90 with or without TPC. Realistic 0.70→0.90, aggressive 0.90→1.00, conservative 0.70 unchanged (practical floor). FM/Points Path 0.73 remains USD-excluded. Remaining prereq before write: §2b on-page re-read of PoT and Milesopedia.</t>
  </si>
  <si>
    <t xml:space="preserve">Bank conservative floors — verify-to-page rule (amendment 1)</t>
  </si>
  <si>
    <t xml:space="preserve">TD, BMO, NBC and Scene+ conservative floors re-anchor to the EXACT rate the issuer page states at verification — the research figures (0.25 / 0.33 / 0.40 / ~0.70) are framework approximations, not write values; the page is truth, not the workbook cell. If a page shows no channel below the current value, the current value stands. Scene+ additionally reclassifies fixed→bank only if a lower channel confirms.</t>
  </si>
  <si>
    <t xml:space="preserve">Event-driven refresh triggers adopted (framework recommendation 5)</t>
  </si>
  <si>
    <t xml:space="preserve">Award-chart change, transfer-ratio change, statement-credit rate change, and program merger/closure each trigger immediate re-valuation of the affected program regardless of SLA. The SLA ladder (variable 90d / bank 180d / fixed 365d / legacy exempt) is the scheduled backstop, not the only trigger. Detection feeds: D3 redemption_terms registry (monthly fetch) for chart and rate changes; transfer-ratio and merger events are manual-watch until a registry source class exists for them.</t>
  </si>
  <si>
    <t xml:space="preserve">Master valuation index adopted as review artifact</t>
  </si>
  <si>
    <t xml:space="preserve">cardcoach_master_valuation_index_2026-07-31_v1.xlsx is the review-and-approval artifact for point_valuations changes; DB writes only via StagedSQL sheet under §7.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</si>
</sst>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\+0.0000;\-0.0000;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34"/>
  </cols>
  <sheetData>
    <row r="1" customFormat="false" ht="17.25" hidden="false" customHeight="true" outlineLevel="0" collapsed="false">
      <c r="B1" s="2" t="s">
        <v>0</v>
      </c>
    </row>
    <row r="2" customFormat="false" ht="87.75" hidden="false" customHeight="true" outlineLevel="0" collapsed="false">
      <c r="B2" s="3" t="s">
        <v>1</v>
      </c>
      <c r="C2" s="3"/>
      <c r="D2" s="3"/>
      <c r="E2" s="3"/>
      <c r="F2" s="3"/>
    </row>
    <row r="3" customFormat="false" ht="43.5" hidden="false" customHeight="true" outlineLevel="0" collapsed="false">
      <c r="B3" s="4" t="s">
        <v>2</v>
      </c>
      <c r="C3" s="4"/>
      <c r="D3" s="4"/>
      <c r="E3" s="4"/>
      <c r="F3" s="4"/>
    </row>
    <row r="5" customFormat="false" ht="15" hidden="false" customHeight="true" outlineLevel="0" collapsed="false">
      <c r="B5" s="5" t="s">
        <v>3</v>
      </c>
    </row>
    <row r="6" customFormat="false" ht="30" hidden="false" customHeight="true" outlineLevel="0" collapsed="false">
      <c r="B6" s="4" t="s">
        <v>4</v>
      </c>
      <c r="C6" s="4"/>
      <c r="D6" s="4"/>
      <c r="E6" s="4"/>
      <c r="F6" s="4"/>
    </row>
    <row r="7" customFormat="false" ht="43.5" hidden="false" customHeight="true" outlineLevel="0" collapsed="false">
      <c r="B7" s="4" t="s">
        <v>5</v>
      </c>
      <c r="C7" s="4"/>
      <c r="D7" s="4"/>
      <c r="E7" s="4"/>
      <c r="F7" s="4"/>
    </row>
    <row r="8" customFormat="false" ht="30" hidden="false" customHeight="true" outlineLevel="0" collapsed="false">
      <c r="B8" s="4" t="s">
        <v>6</v>
      </c>
      <c r="C8" s="4"/>
      <c r="D8" s="4"/>
      <c r="E8" s="4"/>
      <c r="F8" s="4"/>
    </row>
    <row r="10" customFormat="false" ht="15" hidden="false" customHeight="true" outlineLevel="0" collapsed="false">
      <c r="B10" s="5" t="s">
        <v>7</v>
      </c>
    </row>
    <row r="11" customFormat="false" ht="30" hidden="false" customHeight="true" outlineLevel="0" collapsed="false">
      <c r="B11" s="6" t="s">
        <v>8</v>
      </c>
      <c r="C11" s="6" t="s">
        <v>9</v>
      </c>
      <c r="D11" s="6" t="s">
        <v>10</v>
      </c>
      <c r="E11" s="6" t="s">
        <v>11</v>
      </c>
    </row>
    <row r="12" customFormat="false" ht="30" hidden="false" customHeight="true" outlineLevel="0" collapsed="false">
      <c r="B12" s="7" t="s">
        <v>12</v>
      </c>
      <c r="C12" s="7" t="s">
        <v>13</v>
      </c>
      <c r="D12" s="7" t="s">
        <v>14</v>
      </c>
      <c r="E12" s="7" t="s">
        <v>15</v>
      </c>
    </row>
    <row r="13" customFormat="false" ht="30" hidden="false" customHeight="true" outlineLevel="0" collapsed="false">
      <c r="B13" s="7" t="s">
        <v>16</v>
      </c>
      <c r="C13" s="7" t="s">
        <v>17</v>
      </c>
      <c r="D13" s="7" t="s">
        <v>18</v>
      </c>
      <c r="E13" s="7" t="s">
        <v>19</v>
      </c>
    </row>
    <row r="14" customFormat="false" ht="30" hidden="false" customHeight="true" outlineLevel="0" collapsed="false">
      <c r="B14" s="7" t="s">
        <v>20</v>
      </c>
      <c r="C14" s="7" t="s">
        <v>21</v>
      </c>
      <c r="D14" s="7" t="s">
        <v>22</v>
      </c>
      <c r="E14" s="7" t="s">
        <v>23</v>
      </c>
    </row>
    <row r="15" customFormat="false" ht="30" hidden="false" customHeight="true" outlineLevel="0" collapsed="false">
      <c r="B15" s="7" t="s">
        <v>24</v>
      </c>
      <c r="C15" s="7" t="s">
        <v>25</v>
      </c>
      <c r="D15" s="7" t="s">
        <v>26</v>
      </c>
      <c r="E15" s="7" t="s">
        <v>26</v>
      </c>
    </row>
    <row r="17" customFormat="false" ht="15" hidden="false" customHeight="true" outlineLevel="0" collapsed="false">
      <c r="B17" s="5" t="s">
        <v>27</v>
      </c>
    </row>
    <row r="18" customFormat="false" ht="25.5" hidden="false" customHeight="true" outlineLevel="0" collapsed="false">
      <c r="B18" s="8" t="s">
        <v>28</v>
      </c>
      <c r="C18" s="7" t="s">
        <v>29</v>
      </c>
      <c r="D18" s="7"/>
      <c r="E18" s="7"/>
      <c r="F18" s="7"/>
    </row>
    <row r="19" customFormat="false" ht="25.5" hidden="false" customHeight="true" outlineLevel="0" collapsed="false">
      <c r="B19" s="9" t="s">
        <v>30</v>
      </c>
      <c r="C19" s="7" t="s">
        <v>31</v>
      </c>
      <c r="D19" s="7"/>
      <c r="E19" s="7"/>
      <c r="F19" s="7"/>
    </row>
    <row r="20" customFormat="false" ht="25.5" hidden="false" customHeight="true" outlineLevel="0" collapsed="false">
      <c r="B20" s="10" t="s">
        <v>32</v>
      </c>
      <c r="C20" s="7" t="s">
        <v>33</v>
      </c>
      <c r="D20" s="7"/>
      <c r="E20" s="7"/>
      <c r="F20" s="7"/>
    </row>
    <row r="21" customFormat="false" ht="25.5" hidden="false" customHeight="true" outlineLevel="0" collapsed="false">
      <c r="B21" s="11" t="s">
        <v>34</v>
      </c>
      <c r="C21" s="7" t="s">
        <v>35</v>
      </c>
      <c r="D21" s="7"/>
      <c r="E21" s="7"/>
      <c r="F21" s="7"/>
    </row>
    <row r="22" customFormat="false" ht="25.5" hidden="false" customHeight="true" outlineLevel="0" collapsed="false">
      <c r="B22" s="12" t="s">
        <v>36</v>
      </c>
      <c r="C22" s="7" t="s">
        <v>37</v>
      </c>
      <c r="D22" s="7"/>
      <c r="E22" s="7"/>
      <c r="F22" s="7"/>
    </row>
    <row r="23" customFormat="false" ht="25.5" hidden="false" customHeight="true" outlineLevel="0" collapsed="false">
      <c r="B23" s="13" t="s">
        <v>38</v>
      </c>
      <c r="C23" s="7" t="s">
        <v>39</v>
      </c>
      <c r="D23" s="7"/>
      <c r="E23" s="7"/>
      <c r="F23" s="7"/>
    </row>
    <row r="24" customFormat="false" ht="25.5" hidden="false" customHeight="true" outlineLevel="0" collapsed="false">
      <c r="B24" s="13" t="s">
        <v>40</v>
      </c>
      <c r="C24" s="7" t="s">
        <v>41</v>
      </c>
      <c r="D24" s="7"/>
      <c r="E24" s="7"/>
      <c r="F24" s="7"/>
    </row>
    <row r="26" customFormat="false" ht="15" hidden="false" customHeight="true" outlineLevel="0" collapsed="false">
      <c r="B26" s="5" t="s">
        <v>42</v>
      </c>
    </row>
    <row r="27" customFormat="false" ht="15" hidden="false" customHeight="true" outlineLevel="0" collapsed="false">
      <c r="B27" s="14" t="s">
        <v>20</v>
      </c>
      <c r="C27" s="14" t="s">
        <v>43</v>
      </c>
    </row>
    <row r="28" customFormat="false" ht="15" hidden="false" customHeight="true" outlineLevel="0" collapsed="false">
      <c r="B28" s="14" t="s">
        <v>16</v>
      </c>
      <c r="C28" s="14" t="s">
        <v>44</v>
      </c>
    </row>
    <row r="29" customFormat="false" ht="15" hidden="false" customHeight="true" outlineLevel="0" collapsed="false">
      <c r="B29" s="14" t="s">
        <v>12</v>
      </c>
      <c r="C29" s="14" t="s">
        <v>45</v>
      </c>
    </row>
    <row r="30" customFormat="false" ht="15" hidden="false" customHeight="true" outlineLevel="0" collapsed="false">
      <c r="B30" s="14" t="s">
        <v>24</v>
      </c>
      <c r="C30" s="14" t="s">
        <v>46</v>
      </c>
    </row>
    <row r="31" customFormat="false" ht="39.75" hidden="false" customHeight="true" outlineLevel="0" collapsed="false">
      <c r="B31" s="4" t="s">
        <v>47</v>
      </c>
      <c r="C31" s="4"/>
      <c r="D31" s="4"/>
      <c r="E31" s="4"/>
      <c r="F31" s="4"/>
    </row>
    <row r="33" customFormat="false" ht="15" hidden="false" customHeight="true" outlineLevel="0" collapsed="false">
      <c r="B33" s="5" t="s">
        <v>48</v>
      </c>
    </row>
    <row r="34" customFormat="false" ht="39.75" hidden="false" customHeight="true" outlineLevel="0" collapsed="false">
      <c r="B34" s="4" t="s">
        <v>49</v>
      </c>
      <c r="C34" s="4"/>
      <c r="D34" s="4"/>
      <c r="E34" s="4"/>
      <c r="F34" s="4"/>
    </row>
  </sheetData>
  <mergeCells count="14">
    <mergeCell ref="B2:F2"/>
    <mergeCell ref="B3:F3"/>
    <mergeCell ref="B6:F6"/>
    <mergeCell ref="B7:F7"/>
    <mergeCell ref="B8:F8"/>
    <mergeCell ref="C18:F18"/>
    <mergeCell ref="C19:F19"/>
    <mergeCell ref="C20:F20"/>
    <mergeCell ref="C21:F21"/>
    <mergeCell ref="C22:F22"/>
    <mergeCell ref="C23:F23"/>
    <mergeCell ref="C24:F24"/>
    <mergeCell ref="B31:F31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11" min="6" style="1" width="9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95"/>
  </cols>
  <sheetData>
    <row r="1" customFormat="false" ht="30" hidden="false" customHeight="true" outlineLevel="0" collapsed="false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</row>
    <row r="2" customFormat="false" ht="103.5" hidden="false" customHeight="true" outlineLevel="0" collapsed="false">
      <c r="A2" s="14" t="s">
        <v>67</v>
      </c>
      <c r="B2" s="14" t="s">
        <v>68</v>
      </c>
      <c r="C2" s="14" t="s">
        <v>20</v>
      </c>
      <c r="D2" s="16" t="n">
        <v>10</v>
      </c>
      <c r="E2" s="16" t="n">
        <v>10</v>
      </c>
      <c r="F2" s="17" t="n">
        <v>1.2</v>
      </c>
      <c r="G2" s="17" t="n">
        <v>1.27</v>
      </c>
      <c r="H2" s="17" t="n">
        <v>2</v>
      </c>
      <c r="I2" s="18" t="n">
        <v>1</v>
      </c>
      <c r="J2" s="18" t="n">
        <v>2</v>
      </c>
      <c r="K2" s="18" t="n">
        <v>3</v>
      </c>
      <c r="L2" s="19" t="n">
        <f aca="false">J2-G2</f>
        <v>0.73</v>
      </c>
      <c r="M2" s="20" t="s">
        <v>69</v>
      </c>
      <c r="N2" s="21" t="s">
        <v>70</v>
      </c>
      <c r="O2" s="21" t="s">
        <v>71</v>
      </c>
      <c r="P2" s="21" t="s">
        <v>72</v>
      </c>
      <c r="Q2" s="7" t="s">
        <v>73</v>
      </c>
    </row>
    <row r="3" customFormat="false" ht="103.5" hidden="false" customHeight="true" outlineLevel="0" collapsed="false">
      <c r="A3" s="14" t="s">
        <v>74</v>
      </c>
      <c r="B3" s="14" t="s">
        <v>75</v>
      </c>
      <c r="C3" s="14" t="s">
        <v>20</v>
      </c>
      <c r="D3" s="16" t="n">
        <v>7</v>
      </c>
      <c r="E3" s="16" t="n">
        <v>6</v>
      </c>
      <c r="F3" s="17" t="n">
        <v>1</v>
      </c>
      <c r="G3" s="17" t="n">
        <v>1.7</v>
      </c>
      <c r="H3" s="17" t="n">
        <v>2.2</v>
      </c>
      <c r="I3" s="17" t="n">
        <v>1</v>
      </c>
      <c r="J3" s="18" t="n">
        <v>2</v>
      </c>
      <c r="K3" s="18" t="n">
        <v>3</v>
      </c>
      <c r="L3" s="19" t="n">
        <f aca="false">J3-G3</f>
        <v>0.3</v>
      </c>
      <c r="M3" s="22" t="s">
        <v>76</v>
      </c>
      <c r="N3" s="21" t="s">
        <v>77</v>
      </c>
      <c r="O3" s="21" t="s">
        <v>78</v>
      </c>
      <c r="P3" s="21" t="s">
        <v>72</v>
      </c>
      <c r="Q3" s="7" t="s">
        <v>79</v>
      </c>
    </row>
    <row r="4" customFormat="false" ht="103.5" hidden="false" customHeight="true" outlineLevel="0" collapsed="false">
      <c r="A4" s="14" t="s">
        <v>80</v>
      </c>
      <c r="B4" s="14" t="s">
        <v>81</v>
      </c>
      <c r="C4" s="14" t="s">
        <v>20</v>
      </c>
      <c r="D4" s="16" t="n">
        <v>10</v>
      </c>
      <c r="E4" s="16" t="n">
        <v>3</v>
      </c>
      <c r="F4" s="17" t="n">
        <v>1</v>
      </c>
      <c r="G4" s="17" t="n">
        <v>1</v>
      </c>
      <c r="H4" s="17" t="n">
        <v>2.3</v>
      </c>
      <c r="I4" s="17" t="n">
        <v>1</v>
      </c>
      <c r="J4" s="18" t="n">
        <v>2</v>
      </c>
      <c r="K4" s="18" t="n">
        <v>2.3333</v>
      </c>
      <c r="L4" s="19" t="n">
        <f aca="false">J4-G4</f>
        <v>1</v>
      </c>
      <c r="M4" s="22" t="s">
        <v>76</v>
      </c>
      <c r="N4" s="21" t="s">
        <v>82</v>
      </c>
      <c r="O4" s="21" t="s">
        <v>83</v>
      </c>
      <c r="P4" s="21" t="s">
        <v>72</v>
      </c>
      <c r="Q4" s="7" t="s">
        <v>84</v>
      </c>
    </row>
    <row r="5" customFormat="false" ht="67.5" hidden="false" customHeight="true" outlineLevel="0" collapsed="false">
      <c r="A5" s="14" t="s">
        <v>85</v>
      </c>
      <c r="B5" s="14" t="s">
        <v>86</v>
      </c>
      <c r="C5" s="14" t="s">
        <v>16</v>
      </c>
      <c r="D5" s="16" t="n">
        <v>2</v>
      </c>
      <c r="E5" s="16" t="n">
        <v>0</v>
      </c>
      <c r="F5" s="17" t="n">
        <v>0.5814</v>
      </c>
      <c r="G5" s="17" t="n">
        <v>0.5814</v>
      </c>
      <c r="H5" s="17" t="n">
        <v>0.5814</v>
      </c>
      <c r="I5" s="17" t="n">
        <v>0.5814</v>
      </c>
      <c r="J5" s="17" t="n">
        <v>0.5814</v>
      </c>
      <c r="K5" s="17" t="n">
        <v>0.5814</v>
      </c>
      <c r="L5" s="19" t="n">
        <f aca="false">J5-G5</f>
        <v>0</v>
      </c>
      <c r="M5" s="23" t="s">
        <v>36</v>
      </c>
      <c r="N5" s="21" t="s">
        <v>82</v>
      </c>
      <c r="O5" s="21" t="s">
        <v>87</v>
      </c>
      <c r="P5" s="21" t="s">
        <v>88</v>
      </c>
      <c r="Q5" s="7" t="s">
        <v>89</v>
      </c>
    </row>
    <row r="6" customFormat="false" ht="67.5" hidden="false" customHeight="true" outlineLevel="0" collapsed="false">
      <c r="A6" s="14" t="s">
        <v>90</v>
      </c>
      <c r="B6" s="14" t="s">
        <v>91</v>
      </c>
      <c r="C6" s="14" t="s">
        <v>16</v>
      </c>
      <c r="D6" s="16" t="s">
        <v>92</v>
      </c>
      <c r="E6" s="16" t="s">
        <v>92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9" t="n">
        <f aca="false">J6-G6</f>
        <v>0</v>
      </c>
      <c r="M6" s="23" t="s">
        <v>36</v>
      </c>
      <c r="N6" s="21" t="s">
        <v>93</v>
      </c>
      <c r="O6" s="21" t="s">
        <v>94</v>
      </c>
      <c r="P6" s="21" t="s">
        <v>88</v>
      </c>
      <c r="Q6" s="7" t="s">
        <v>95</v>
      </c>
    </row>
    <row r="7" customFormat="false" ht="96" hidden="false" customHeight="true" outlineLevel="0" collapsed="false">
      <c r="A7" s="14" t="s">
        <v>96</v>
      </c>
      <c r="B7" s="14" t="s">
        <v>97</v>
      </c>
      <c r="C7" s="14" t="s">
        <v>20</v>
      </c>
      <c r="D7" s="16" t="n">
        <v>1</v>
      </c>
      <c r="E7" s="16" t="n">
        <v>1</v>
      </c>
      <c r="F7" s="17" t="n">
        <v>1.2</v>
      </c>
      <c r="G7" s="17" t="n">
        <v>1.5</v>
      </c>
      <c r="H7" s="17" t="n">
        <v>2</v>
      </c>
      <c r="I7" s="18" t="n">
        <v>1.5</v>
      </c>
      <c r="J7" s="18" t="n">
        <v>1.9</v>
      </c>
      <c r="K7" s="17" t="n">
        <v>2</v>
      </c>
      <c r="L7" s="19" t="n">
        <f aca="false">J7-G7</f>
        <v>0.4</v>
      </c>
      <c r="M7" s="22" t="s">
        <v>76</v>
      </c>
      <c r="N7" s="21" t="s">
        <v>98</v>
      </c>
      <c r="O7" s="21" t="s">
        <v>99</v>
      </c>
      <c r="P7" s="21" t="s">
        <v>72</v>
      </c>
      <c r="Q7" s="7" t="s">
        <v>100</v>
      </c>
    </row>
    <row r="8" customFormat="false" ht="103.5" hidden="false" customHeight="true" outlineLevel="0" collapsed="false">
      <c r="A8" s="14" t="s">
        <v>101</v>
      </c>
      <c r="B8" s="14" t="s">
        <v>102</v>
      </c>
      <c r="C8" s="14" t="s">
        <v>20</v>
      </c>
      <c r="D8" s="16" t="n">
        <v>2</v>
      </c>
      <c r="E8" s="16" t="n">
        <v>2</v>
      </c>
      <c r="F8" s="17" t="n">
        <v>0.7</v>
      </c>
      <c r="G8" s="17" t="n">
        <v>0.7</v>
      </c>
      <c r="H8" s="17" t="n">
        <v>0.9</v>
      </c>
      <c r="I8" s="17" t="n">
        <v>0.7</v>
      </c>
      <c r="J8" s="18" t="n">
        <v>0.9</v>
      </c>
      <c r="K8" s="18" t="n">
        <v>1</v>
      </c>
      <c r="L8" s="19" t="n">
        <f aca="false">J8-G8</f>
        <v>0.2</v>
      </c>
      <c r="M8" s="22" t="s">
        <v>76</v>
      </c>
      <c r="N8" s="21" t="s">
        <v>103</v>
      </c>
      <c r="O8" s="21" t="s">
        <v>104</v>
      </c>
      <c r="P8" s="21" t="s">
        <v>72</v>
      </c>
      <c r="Q8" s="7" t="s">
        <v>105</v>
      </c>
    </row>
    <row r="9" customFormat="false" ht="67.5" hidden="false" customHeight="true" outlineLevel="0" collapsed="false">
      <c r="A9" s="14" t="s">
        <v>106</v>
      </c>
      <c r="B9" s="14" t="s">
        <v>107</v>
      </c>
      <c r="C9" s="14" t="s">
        <v>16</v>
      </c>
      <c r="D9" s="16" t="n">
        <v>5</v>
      </c>
      <c r="E9" s="16" t="n">
        <v>2</v>
      </c>
      <c r="F9" s="17" t="n">
        <v>0.625</v>
      </c>
      <c r="G9" s="17" t="n">
        <v>1</v>
      </c>
      <c r="H9" s="17" t="n">
        <v>2.2857</v>
      </c>
      <c r="I9" s="17" t="n">
        <v>0.625</v>
      </c>
      <c r="J9" s="17" t="n">
        <v>1</v>
      </c>
      <c r="K9" s="17" t="n">
        <v>2.2857</v>
      </c>
      <c r="L9" s="19" t="n">
        <f aca="false">J9-G9</f>
        <v>0</v>
      </c>
      <c r="M9" s="23" t="s">
        <v>36</v>
      </c>
      <c r="N9" s="21" t="s">
        <v>82</v>
      </c>
      <c r="O9" s="21" t="s">
        <v>94</v>
      </c>
      <c r="P9" s="21" t="s">
        <v>88</v>
      </c>
      <c r="Q9" s="7" t="s">
        <v>108</v>
      </c>
    </row>
    <row r="10" customFormat="false" ht="96" hidden="false" customHeight="true" outlineLevel="0" collapsed="false">
      <c r="A10" s="14" t="s">
        <v>109</v>
      </c>
      <c r="B10" s="14" t="s">
        <v>110</v>
      </c>
      <c r="C10" s="14" t="s">
        <v>16</v>
      </c>
      <c r="D10" s="16" t="n">
        <v>4</v>
      </c>
      <c r="E10" s="16" t="n">
        <v>4</v>
      </c>
      <c r="F10" s="17" t="n">
        <v>0.4</v>
      </c>
      <c r="G10" s="17" t="n">
        <v>0.5</v>
      </c>
      <c r="H10" s="17" t="n">
        <v>0.5</v>
      </c>
      <c r="I10" s="18" t="n">
        <v>0.25</v>
      </c>
      <c r="J10" s="17" t="n">
        <v>0.5</v>
      </c>
      <c r="K10" s="17" t="n">
        <v>0.5</v>
      </c>
      <c r="L10" s="19" t="n">
        <f aca="false">J10-G10</f>
        <v>0</v>
      </c>
      <c r="M10" s="22" t="s">
        <v>76</v>
      </c>
      <c r="N10" s="21" t="s">
        <v>82</v>
      </c>
      <c r="O10" s="21" t="s">
        <v>111</v>
      </c>
      <c r="P10" s="21" t="s">
        <v>88</v>
      </c>
      <c r="Q10" s="7" t="s">
        <v>112</v>
      </c>
    </row>
    <row r="11" customFormat="false" ht="96" hidden="false" customHeight="true" outlineLevel="0" collapsed="false">
      <c r="A11" s="14" t="s">
        <v>113</v>
      </c>
      <c r="B11" s="14" t="s">
        <v>114</v>
      </c>
      <c r="C11" s="14" t="s">
        <v>16</v>
      </c>
      <c r="D11" s="16" t="n">
        <v>5</v>
      </c>
      <c r="E11" s="16" t="n">
        <v>4</v>
      </c>
      <c r="F11" s="17" t="n">
        <v>0.5</v>
      </c>
      <c r="G11" s="17" t="n">
        <v>0.67</v>
      </c>
      <c r="H11" s="17" t="n">
        <v>0.67</v>
      </c>
      <c r="I11" s="17" t="n">
        <v>0.5</v>
      </c>
      <c r="J11" s="17" t="n">
        <v>0.67</v>
      </c>
      <c r="K11" s="17" t="n">
        <v>0.67</v>
      </c>
      <c r="L11" s="19" t="n">
        <f aca="false">J11-G11</f>
        <v>0</v>
      </c>
      <c r="M11" s="24" t="s">
        <v>115</v>
      </c>
      <c r="N11" s="21" t="s">
        <v>82</v>
      </c>
      <c r="O11" s="21" t="s">
        <v>111</v>
      </c>
      <c r="P11" s="21" t="s">
        <v>88</v>
      </c>
      <c r="Q11" s="7" t="s">
        <v>116</v>
      </c>
    </row>
    <row r="12" customFormat="false" ht="67.5" hidden="false" customHeight="true" outlineLevel="0" collapsed="false">
      <c r="A12" s="14" t="s">
        <v>117</v>
      </c>
      <c r="B12" s="14" t="s">
        <v>118</v>
      </c>
      <c r="C12" s="14" t="s">
        <v>16</v>
      </c>
      <c r="D12" s="16" t="n">
        <v>2</v>
      </c>
      <c r="E12" s="16" t="n">
        <v>2</v>
      </c>
      <c r="F12" s="17" t="n">
        <v>0.8333</v>
      </c>
      <c r="G12" s="17" t="n">
        <v>1</v>
      </c>
      <c r="H12" s="17" t="n">
        <v>1</v>
      </c>
      <c r="I12" s="17" t="n">
        <v>0.8333</v>
      </c>
      <c r="J12" s="17" t="n">
        <v>1</v>
      </c>
      <c r="K12" s="17" t="n">
        <v>1</v>
      </c>
      <c r="L12" s="19" t="n">
        <f aca="false">J12-G12</f>
        <v>0</v>
      </c>
      <c r="M12" s="23" t="s">
        <v>36</v>
      </c>
      <c r="N12" s="21" t="s">
        <v>93</v>
      </c>
      <c r="O12" s="21" t="s">
        <v>94</v>
      </c>
      <c r="P12" s="21" t="s">
        <v>88</v>
      </c>
      <c r="Q12" s="7" t="s">
        <v>119</v>
      </c>
    </row>
    <row r="13" customFormat="false" ht="91.5" hidden="false" customHeight="true" outlineLevel="0" collapsed="false">
      <c r="A13" s="14" t="s">
        <v>120</v>
      </c>
      <c r="B13" s="14" t="s">
        <v>121</v>
      </c>
      <c r="C13" s="14" t="s">
        <v>16</v>
      </c>
      <c r="D13" s="16" t="n">
        <v>3</v>
      </c>
      <c r="E13" s="16" t="n">
        <v>0</v>
      </c>
      <c r="F13" s="17" t="n">
        <v>0.83</v>
      </c>
      <c r="G13" s="17" t="n">
        <v>1</v>
      </c>
      <c r="H13" s="17" t="n">
        <v>1</v>
      </c>
      <c r="I13" s="18" t="n">
        <v>0.4</v>
      </c>
      <c r="J13" s="17" t="n">
        <v>1</v>
      </c>
      <c r="K13" s="17" t="n">
        <v>1</v>
      </c>
      <c r="L13" s="19" t="n">
        <f aca="false">J13-G13</f>
        <v>0</v>
      </c>
      <c r="M13" s="22" t="s">
        <v>76</v>
      </c>
      <c r="N13" s="21" t="s">
        <v>82</v>
      </c>
      <c r="O13" s="21" t="s">
        <v>122</v>
      </c>
      <c r="P13" s="21" t="s">
        <v>88</v>
      </c>
      <c r="Q13" s="7" t="s">
        <v>123</v>
      </c>
    </row>
    <row r="14" customFormat="false" ht="96" hidden="false" customHeight="true" outlineLevel="0" collapsed="false">
      <c r="A14" s="14" t="s">
        <v>124</v>
      </c>
      <c r="B14" s="14" t="s">
        <v>125</v>
      </c>
      <c r="C14" s="21" t="s">
        <v>126</v>
      </c>
      <c r="D14" s="16" t="n">
        <v>7</v>
      </c>
      <c r="E14" s="16" t="n">
        <v>6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9" t="n">
        <f aca="false">J14-G14</f>
        <v>0</v>
      </c>
      <c r="M14" s="24" t="s">
        <v>115</v>
      </c>
      <c r="N14" s="21" t="s">
        <v>82</v>
      </c>
      <c r="O14" s="21" t="s">
        <v>111</v>
      </c>
      <c r="P14" s="21" t="s">
        <v>127</v>
      </c>
      <c r="Q14" s="7" t="s">
        <v>128</v>
      </c>
    </row>
    <row r="15" customFormat="false" ht="67.5" hidden="false" customHeight="true" outlineLevel="0" collapsed="false">
      <c r="A15" s="14" t="s">
        <v>129</v>
      </c>
      <c r="B15" s="14" t="s">
        <v>130</v>
      </c>
      <c r="C15" s="14" t="s">
        <v>12</v>
      </c>
      <c r="D15" s="16" t="n">
        <v>2</v>
      </c>
      <c r="E15" s="16" t="n">
        <v>2</v>
      </c>
      <c r="F15" s="17" t="n">
        <v>0.667</v>
      </c>
      <c r="G15" s="17" t="n">
        <v>0.667</v>
      </c>
      <c r="H15" s="17" t="n">
        <v>0.667</v>
      </c>
      <c r="I15" s="17" t="n">
        <v>0.667</v>
      </c>
      <c r="J15" s="17" t="n">
        <v>0.667</v>
      </c>
      <c r="K15" s="17" t="n">
        <v>0.667</v>
      </c>
      <c r="L15" s="19" t="n">
        <f aca="false">J15-G15</f>
        <v>0</v>
      </c>
      <c r="M15" s="23" t="s">
        <v>36</v>
      </c>
      <c r="N15" s="21" t="s">
        <v>93</v>
      </c>
      <c r="O15" s="21" t="s">
        <v>94</v>
      </c>
      <c r="P15" s="21" t="s">
        <v>127</v>
      </c>
      <c r="Q15" s="7" t="s">
        <v>131</v>
      </c>
    </row>
    <row r="16" customFormat="false" ht="67.5" hidden="false" customHeight="true" outlineLevel="0" collapsed="false">
      <c r="A16" s="14" t="s">
        <v>132</v>
      </c>
      <c r="B16" s="14" t="s">
        <v>133</v>
      </c>
      <c r="C16" s="14" t="s">
        <v>12</v>
      </c>
      <c r="D16" s="16" t="n">
        <v>2</v>
      </c>
      <c r="E16" s="16" t="n">
        <v>2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9" t="n">
        <f aca="false">J16-G16</f>
        <v>0</v>
      </c>
      <c r="M16" s="23" t="s">
        <v>36</v>
      </c>
      <c r="N16" s="21" t="s">
        <v>93</v>
      </c>
      <c r="O16" s="21" t="s">
        <v>94</v>
      </c>
      <c r="P16" s="21" t="s">
        <v>127</v>
      </c>
      <c r="Q16" s="7" t="s">
        <v>134</v>
      </c>
    </row>
    <row r="17" customFormat="false" ht="67.5" hidden="false" customHeight="true" outlineLevel="0" collapsed="false">
      <c r="A17" s="14" t="s">
        <v>135</v>
      </c>
      <c r="B17" s="14" t="s">
        <v>136</v>
      </c>
      <c r="C17" s="14" t="s">
        <v>12</v>
      </c>
      <c r="D17" s="16" t="n">
        <v>4</v>
      </c>
      <c r="E17" s="16" t="n">
        <v>4</v>
      </c>
      <c r="F17" s="17" t="n">
        <v>0.1</v>
      </c>
      <c r="G17" s="17" t="n">
        <v>0.1</v>
      </c>
      <c r="H17" s="17" t="n">
        <v>0.1</v>
      </c>
      <c r="I17" s="17" t="n">
        <v>0.1</v>
      </c>
      <c r="J17" s="17" t="n">
        <v>0.1</v>
      </c>
      <c r="K17" s="17" t="n">
        <v>0.1</v>
      </c>
      <c r="L17" s="19" t="n">
        <f aca="false">J17-G17</f>
        <v>0</v>
      </c>
      <c r="M17" s="23" t="s">
        <v>36</v>
      </c>
      <c r="N17" s="21" t="s">
        <v>93</v>
      </c>
      <c r="O17" s="21" t="s">
        <v>94</v>
      </c>
      <c r="P17" s="21" t="s">
        <v>127</v>
      </c>
      <c r="Q17" s="7" t="s">
        <v>137</v>
      </c>
    </row>
    <row r="18" customFormat="false" ht="67.5" hidden="false" customHeight="true" outlineLevel="0" collapsed="false">
      <c r="A18" s="14" t="s">
        <v>138</v>
      </c>
      <c r="B18" s="14" t="s">
        <v>139</v>
      </c>
      <c r="C18" s="14" t="s">
        <v>12</v>
      </c>
      <c r="D18" s="16" t="n">
        <v>1</v>
      </c>
      <c r="E18" s="16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9" t="n">
        <f aca="false">J18-G18</f>
        <v>0</v>
      </c>
      <c r="M18" s="23" t="s">
        <v>36</v>
      </c>
      <c r="N18" s="21" t="s">
        <v>93</v>
      </c>
      <c r="O18" s="21" t="s">
        <v>94</v>
      </c>
      <c r="P18" s="21" t="s">
        <v>127</v>
      </c>
      <c r="Q18" s="7" t="s">
        <v>140</v>
      </c>
    </row>
    <row r="19" customFormat="false" ht="67.5" hidden="false" customHeight="true" outlineLevel="0" collapsed="false">
      <c r="A19" s="14" t="s">
        <v>141</v>
      </c>
      <c r="B19" s="14" t="s">
        <v>142</v>
      </c>
      <c r="C19" s="14" t="s">
        <v>12</v>
      </c>
      <c r="D19" s="16" t="n">
        <v>1</v>
      </c>
      <c r="E19" s="16" t="n">
        <v>1</v>
      </c>
      <c r="F19" s="17" t="n">
        <v>0.8</v>
      </c>
      <c r="G19" s="17" t="n">
        <v>0.8</v>
      </c>
      <c r="H19" s="17" t="n">
        <v>0.8</v>
      </c>
      <c r="I19" s="17" t="n">
        <v>0.8</v>
      </c>
      <c r="J19" s="17" t="n">
        <v>0.8</v>
      </c>
      <c r="K19" s="17" t="n">
        <v>0.8</v>
      </c>
      <c r="L19" s="19" t="n">
        <f aca="false">J19-G19</f>
        <v>0</v>
      </c>
      <c r="M19" s="23" t="s">
        <v>36</v>
      </c>
      <c r="N19" s="21" t="s">
        <v>82</v>
      </c>
      <c r="O19" s="21" t="s">
        <v>94</v>
      </c>
      <c r="P19" s="21" t="s">
        <v>127</v>
      </c>
      <c r="Q19" s="7" t="s">
        <v>143</v>
      </c>
    </row>
    <row r="20" customFormat="false" ht="67.5" hidden="false" customHeight="true" outlineLevel="0" collapsed="false">
      <c r="A20" s="14" t="s">
        <v>144</v>
      </c>
      <c r="B20" s="14" t="s">
        <v>145</v>
      </c>
      <c r="C20" s="14" t="s">
        <v>12</v>
      </c>
      <c r="D20" s="16" t="n">
        <v>2</v>
      </c>
      <c r="E20" s="16" t="n">
        <v>2</v>
      </c>
      <c r="F20" s="17" t="n">
        <v>0.1429</v>
      </c>
      <c r="G20" s="17" t="n">
        <v>0.15</v>
      </c>
      <c r="H20" s="17" t="n">
        <v>0.15</v>
      </c>
      <c r="I20" s="17" t="n">
        <v>0.1429</v>
      </c>
      <c r="J20" s="17" t="n">
        <v>0.15</v>
      </c>
      <c r="K20" s="17" t="n">
        <v>0.15</v>
      </c>
      <c r="L20" s="19" t="n">
        <f aca="false">J20-G20</f>
        <v>0</v>
      </c>
      <c r="M20" s="23" t="s">
        <v>36</v>
      </c>
      <c r="N20" s="21" t="s">
        <v>82</v>
      </c>
      <c r="O20" s="21" t="s">
        <v>94</v>
      </c>
      <c r="P20" s="21" t="s">
        <v>127</v>
      </c>
      <c r="Q20" s="7" t="s">
        <v>146</v>
      </c>
    </row>
    <row r="21" customFormat="false" ht="67.5" hidden="false" customHeight="true" outlineLevel="0" collapsed="false">
      <c r="A21" s="14" t="s">
        <v>147</v>
      </c>
      <c r="B21" s="14" t="s">
        <v>148</v>
      </c>
      <c r="C21" s="14" t="s">
        <v>24</v>
      </c>
      <c r="D21" s="16" t="n">
        <v>0</v>
      </c>
      <c r="E21" s="16" t="n">
        <v>0</v>
      </c>
      <c r="F21" s="17" t="n">
        <v>0.5</v>
      </c>
      <c r="G21" s="17" t="n">
        <v>0.67</v>
      </c>
      <c r="H21" s="17" t="n">
        <v>0.67</v>
      </c>
      <c r="I21" s="17" t="n">
        <v>0.5</v>
      </c>
      <c r="J21" s="17" t="n">
        <v>0.67</v>
      </c>
      <c r="K21" s="17" t="n">
        <v>0.67</v>
      </c>
      <c r="L21" s="19" t="n">
        <f aca="false">J21-G21</f>
        <v>0</v>
      </c>
      <c r="M21" s="25" t="s">
        <v>38</v>
      </c>
      <c r="N21" s="21" t="s">
        <v>24</v>
      </c>
      <c r="O21" s="21" t="s">
        <v>149</v>
      </c>
      <c r="P21" s="21" t="s">
        <v>46</v>
      </c>
      <c r="Q21" s="7" t="s">
        <v>150</v>
      </c>
    </row>
    <row r="22" customFormat="false" ht="67.5" hidden="false" customHeight="true" outlineLevel="0" collapsed="false">
      <c r="A22" s="14" t="s">
        <v>151</v>
      </c>
      <c r="B22" s="14" t="s">
        <v>152</v>
      </c>
      <c r="C22" s="14" t="s">
        <v>153</v>
      </c>
      <c r="D22" s="16" t="n">
        <v>1</v>
      </c>
      <c r="E22" s="16" t="n">
        <v>0</v>
      </c>
      <c r="F22" s="16" t="s">
        <v>92</v>
      </c>
      <c r="G22" s="16" t="s">
        <v>92</v>
      </c>
      <c r="H22" s="16" t="s">
        <v>92</v>
      </c>
      <c r="I22" s="16" t="s">
        <v>92</v>
      </c>
      <c r="J22" s="16" t="s">
        <v>92</v>
      </c>
      <c r="K22" s="16" t="s">
        <v>92</v>
      </c>
      <c r="L22" s="16" t="s">
        <v>92</v>
      </c>
      <c r="M22" s="25" t="s">
        <v>40</v>
      </c>
      <c r="N22" s="21" t="s">
        <v>92</v>
      </c>
      <c r="O22" s="21" t="s">
        <v>92</v>
      </c>
      <c r="P22" s="21" t="s">
        <v>92</v>
      </c>
      <c r="Q22" s="7" t="s">
        <v>154</v>
      </c>
    </row>
    <row r="23" customFormat="false" ht="67.5" hidden="false" customHeight="true" outlineLevel="0" collapsed="false">
      <c r="A23" s="14" t="s">
        <v>155</v>
      </c>
      <c r="B23" s="14" t="s">
        <v>156</v>
      </c>
      <c r="C23" s="14" t="s">
        <v>92</v>
      </c>
      <c r="D23" s="16" t="n">
        <v>0</v>
      </c>
      <c r="E23" s="16" t="n">
        <v>0</v>
      </c>
      <c r="F23" s="16" t="s">
        <v>92</v>
      </c>
      <c r="G23" s="16" t="s">
        <v>92</v>
      </c>
      <c r="H23" s="16" t="s">
        <v>92</v>
      </c>
      <c r="I23" s="16" t="s">
        <v>92</v>
      </c>
      <c r="J23" s="16" t="s">
        <v>92</v>
      </c>
      <c r="K23" s="16" t="s">
        <v>92</v>
      </c>
      <c r="L23" s="16" t="s">
        <v>92</v>
      </c>
      <c r="M23" s="25" t="s">
        <v>40</v>
      </c>
      <c r="N23" s="21" t="s">
        <v>92</v>
      </c>
      <c r="O23" s="21" t="s">
        <v>92</v>
      </c>
      <c r="P23" s="21" t="s">
        <v>92</v>
      </c>
      <c r="Q23" s="7" t="s">
        <v>157</v>
      </c>
    </row>
    <row r="24" customFormat="false" ht="67.5" hidden="false" customHeight="true" outlineLevel="0" collapsed="false">
      <c r="A24" s="14" t="s">
        <v>158</v>
      </c>
      <c r="B24" s="14" t="s">
        <v>159</v>
      </c>
      <c r="C24" s="14" t="s">
        <v>92</v>
      </c>
      <c r="D24" s="16" t="n">
        <v>0</v>
      </c>
      <c r="E24" s="16" t="n">
        <v>0</v>
      </c>
      <c r="F24" s="16" t="s">
        <v>92</v>
      </c>
      <c r="G24" s="16" t="s">
        <v>92</v>
      </c>
      <c r="H24" s="16" t="s">
        <v>92</v>
      </c>
      <c r="I24" s="16" t="s">
        <v>92</v>
      </c>
      <c r="J24" s="16" t="s">
        <v>92</v>
      </c>
      <c r="K24" s="16" t="s">
        <v>92</v>
      </c>
      <c r="L24" s="16" t="s">
        <v>92</v>
      </c>
      <c r="M24" s="25" t="s">
        <v>40</v>
      </c>
      <c r="N24" s="21" t="s">
        <v>92</v>
      </c>
      <c r="O24" s="21" t="s">
        <v>92</v>
      </c>
      <c r="P24" s="21" t="s">
        <v>92</v>
      </c>
      <c r="Q24" s="7" t="s">
        <v>160</v>
      </c>
    </row>
    <row r="26" customFormat="false" ht="15" hidden="false" customHeight="true" outlineLevel="0" collapsed="false">
      <c r="A26" s="26" t="s">
        <v>161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</sheetData>
  <mergeCells count="1"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10" min="6" style="1" width="7"/>
    <col collapsed="false" customWidth="true" hidden="false" outlineLevel="0" max="13" min="11" style="1" width="9"/>
    <col collapsed="false" customWidth="true" hidden="false" outlineLevel="0" max="14" min="14" style="1" width="7"/>
    <col collapsed="false" customWidth="true" hidden="false" outlineLevel="0" max="15" min="15" style="1" width="20"/>
    <col collapsed="false" customWidth="true" hidden="false" outlineLevel="0" max="16" min="16" style="1" width="48"/>
    <col collapsed="false" customWidth="true" hidden="false" outlineLevel="0" max="17" min="17" style="1" width="38"/>
  </cols>
  <sheetData>
    <row r="1" customFormat="false" ht="30" hidden="false" customHeight="true" outlineLevel="0" collapsed="false">
      <c r="A1" s="15" t="s">
        <v>51</v>
      </c>
      <c r="B1" s="15" t="s">
        <v>162</v>
      </c>
      <c r="C1" s="15" t="s">
        <v>163</v>
      </c>
      <c r="D1" s="15" t="s">
        <v>164</v>
      </c>
      <c r="E1" s="15" t="s">
        <v>165</v>
      </c>
      <c r="F1" s="15" t="s">
        <v>166</v>
      </c>
      <c r="G1" s="15" t="s">
        <v>167</v>
      </c>
      <c r="H1" s="15" t="s">
        <v>168</v>
      </c>
      <c r="I1" s="15" t="s">
        <v>169</v>
      </c>
      <c r="J1" s="15" t="s">
        <v>170</v>
      </c>
      <c r="K1" s="15" t="s">
        <v>171</v>
      </c>
      <c r="L1" s="15" t="s">
        <v>172</v>
      </c>
      <c r="M1" s="15" t="s">
        <v>173</v>
      </c>
      <c r="N1" s="15" t="s">
        <v>174</v>
      </c>
      <c r="O1" s="15" t="s">
        <v>175</v>
      </c>
      <c r="P1" s="15" t="s">
        <v>176</v>
      </c>
      <c r="Q1" s="15" t="s">
        <v>177</v>
      </c>
    </row>
    <row r="2" customFormat="false" ht="57.75" hidden="false" customHeight="true" outlineLevel="0" collapsed="false">
      <c r="A2" s="27" t="s">
        <v>67</v>
      </c>
      <c r="B2" s="27" t="s">
        <v>10</v>
      </c>
      <c r="C2" s="28" t="n">
        <v>1.27</v>
      </c>
      <c r="D2" s="29" t="n">
        <v>2</v>
      </c>
      <c r="E2" s="27" t="s">
        <v>178</v>
      </c>
      <c r="F2" s="28" t="n">
        <v>1.6</v>
      </c>
      <c r="G2" s="28" t="n">
        <v>2</v>
      </c>
      <c r="H2" s="28" t="n">
        <v>2</v>
      </c>
      <c r="I2" s="27"/>
      <c r="J2" s="27"/>
      <c r="K2" s="28" t="n">
        <f aca="false">MIN(F2:J2)</f>
        <v>1.6</v>
      </c>
      <c r="L2" s="28" t="n">
        <f aca="false">MAX(F2:J2)</f>
        <v>2</v>
      </c>
      <c r="M2" s="28" t="n">
        <f aca="false">MEDIAN(F2:J2)</f>
        <v>2</v>
      </c>
      <c r="N2" s="27" t="n">
        <f aca="false">COUNT(F2:J2)</f>
        <v>3</v>
      </c>
      <c r="O2" s="27" t="str">
        <f aca="false">IF(AND(N2&gt;=3,ABS(D2-M2)&lt;0.0001,D2&lt;=L2,D2&gt;=K2),"OK","FAIL")</f>
        <v>OK</v>
      </c>
      <c r="P2" s="30" t="s">
        <v>179</v>
      </c>
      <c r="Q2" s="30" t="s">
        <v>180</v>
      </c>
    </row>
    <row r="3" customFormat="false" ht="57.75" hidden="false" customHeight="true" outlineLevel="0" collapsed="false">
      <c r="A3" s="27" t="s">
        <v>67</v>
      </c>
      <c r="B3" s="27" t="s">
        <v>11</v>
      </c>
      <c r="C3" s="28" t="n">
        <v>2</v>
      </c>
      <c r="D3" s="29" t="n">
        <v>3</v>
      </c>
      <c r="E3" s="27" t="s">
        <v>181</v>
      </c>
      <c r="F3" s="28" t="n">
        <v>3</v>
      </c>
      <c r="G3" s="28" t="n">
        <v>3.3</v>
      </c>
      <c r="H3" s="27"/>
      <c r="I3" s="27"/>
      <c r="J3" s="27"/>
      <c r="K3" s="28" t="n">
        <f aca="false">MIN(F3:J3)</f>
        <v>3</v>
      </c>
      <c r="L3" s="28" t="n">
        <f aca="false">MAX(F3:J3)</f>
        <v>3.3</v>
      </c>
      <c r="M3" s="28" t="n">
        <f aca="false">MEDIAN(F3:J3)</f>
        <v>3.15</v>
      </c>
      <c r="N3" s="27" t="n">
        <f aca="false">COUNT(F3:J3)</f>
        <v>2</v>
      </c>
      <c r="O3" s="27" t="str">
        <f aca="false">IF(AND(D3&gt;=K3,D3&lt;=L3),"OK (worked band)","FAIL")</f>
        <v>OK (worked band)</v>
      </c>
      <c r="P3" s="30" t="s">
        <v>182</v>
      </c>
      <c r="Q3" s="30" t="s">
        <v>183</v>
      </c>
    </row>
    <row r="4" customFormat="false" ht="57.75" hidden="false" customHeight="true" outlineLevel="0" collapsed="false">
      <c r="A4" s="27" t="s">
        <v>67</v>
      </c>
      <c r="B4" s="27" t="s">
        <v>9</v>
      </c>
      <c r="C4" s="28" t="n">
        <v>1.2</v>
      </c>
      <c r="D4" s="29" t="n">
        <v>1</v>
      </c>
      <c r="E4" s="27" t="s">
        <v>184</v>
      </c>
      <c r="F4" s="27"/>
      <c r="G4" s="27"/>
      <c r="H4" s="27"/>
      <c r="I4" s="27"/>
      <c r="J4" s="27"/>
      <c r="K4" s="27"/>
      <c r="L4" s="27"/>
      <c r="M4" s="27"/>
      <c r="N4" s="27"/>
      <c r="O4" s="31" t="str">
        <f aca="false">"VERIFY Tier 1b"</f>
        <v>VERIFY Tier 1b</v>
      </c>
      <c r="P4" s="30" t="s">
        <v>185</v>
      </c>
      <c r="Q4" s="30" t="s">
        <v>186</v>
      </c>
    </row>
    <row r="5" customFormat="false" ht="57.75" hidden="false" customHeight="true" outlineLevel="0" collapsed="false">
      <c r="A5" s="27" t="s">
        <v>74</v>
      </c>
      <c r="B5" s="27" t="s">
        <v>10</v>
      </c>
      <c r="C5" s="28" t="n">
        <v>1.7</v>
      </c>
      <c r="D5" s="29" t="n">
        <v>2</v>
      </c>
      <c r="E5" s="27" t="s">
        <v>178</v>
      </c>
      <c r="F5" s="28" t="n">
        <v>1.7</v>
      </c>
      <c r="G5" s="28" t="n">
        <v>2</v>
      </c>
      <c r="H5" s="28" t="n">
        <v>2.2</v>
      </c>
      <c r="I5" s="27"/>
      <c r="J5" s="27"/>
      <c r="K5" s="28" t="n">
        <f aca="false">MIN(F5:J5)</f>
        <v>1.7</v>
      </c>
      <c r="L5" s="28" t="n">
        <f aca="false">MAX(F5:J5)</f>
        <v>2.2</v>
      </c>
      <c r="M5" s="28" t="n">
        <f aca="false">MEDIAN(F5:J5)</f>
        <v>2</v>
      </c>
      <c r="N5" s="27" t="n">
        <f aca="false">COUNT(F5:J5)</f>
        <v>3</v>
      </c>
      <c r="O5" s="27" t="str">
        <f aca="false">IF(AND(N5&gt;=3,ABS(D5-M5)&lt;0.0001,D5&lt;=L5,D5&gt;=K5),"OK","FAIL")</f>
        <v>OK</v>
      </c>
      <c r="P5" s="30" t="s">
        <v>187</v>
      </c>
      <c r="Q5" s="30" t="s">
        <v>188</v>
      </c>
    </row>
    <row r="6" customFormat="false" ht="57.75" hidden="false" customHeight="true" outlineLevel="0" collapsed="false">
      <c r="A6" s="27" t="s">
        <v>74</v>
      </c>
      <c r="B6" s="27" t="s">
        <v>11</v>
      </c>
      <c r="C6" s="28" t="n">
        <v>2.2</v>
      </c>
      <c r="D6" s="29" t="n">
        <v>3</v>
      </c>
      <c r="E6" s="27" t="s">
        <v>189</v>
      </c>
      <c r="F6" s="28" t="n">
        <v>3</v>
      </c>
      <c r="G6" s="28" t="n">
        <v>3.3</v>
      </c>
      <c r="H6" s="27"/>
      <c r="I6" s="27"/>
      <c r="J6" s="27"/>
      <c r="K6" s="28" t="n">
        <f aca="false">MIN(F6:J6)</f>
        <v>3</v>
      </c>
      <c r="L6" s="28" t="n">
        <f aca="false">MAX(F6:J6)</f>
        <v>3.3</v>
      </c>
      <c r="M6" s="28" t="n">
        <f aca="false">MEDIAN(F6:J6)</f>
        <v>3.15</v>
      </c>
      <c r="N6" s="27" t="n">
        <f aca="false">COUNT(F6:J6)</f>
        <v>2</v>
      </c>
      <c r="O6" s="27" t="str">
        <f aca="false">IF(AND(D6&gt;=K6,D6&lt;=L6),"OK (worked band)","FAIL")</f>
        <v>OK (worked band)</v>
      </c>
      <c r="P6" s="30" t="s">
        <v>190</v>
      </c>
      <c r="Q6" s="30" t="s">
        <v>191</v>
      </c>
    </row>
    <row r="7" customFormat="false" ht="57.75" hidden="false" customHeight="true" outlineLevel="0" collapsed="false">
      <c r="A7" s="27" t="s">
        <v>80</v>
      </c>
      <c r="B7" s="27" t="s">
        <v>10</v>
      </c>
      <c r="C7" s="28" t="n">
        <v>1</v>
      </c>
      <c r="D7" s="29" t="n">
        <v>2</v>
      </c>
      <c r="E7" s="27" t="s">
        <v>192</v>
      </c>
      <c r="F7" s="28" t="n">
        <v>2</v>
      </c>
      <c r="G7" s="28" t="n">
        <v>2.14</v>
      </c>
      <c r="H7" s="28" t="n">
        <v>2.3333</v>
      </c>
      <c r="I7" s="27"/>
      <c r="J7" s="27"/>
      <c r="K7" s="28" t="n">
        <f aca="false">MIN(F7:J7)</f>
        <v>2</v>
      </c>
      <c r="L7" s="28" t="n">
        <f aca="false">MAX(F7:J7)</f>
        <v>2.3333</v>
      </c>
      <c r="M7" s="28" t="n">
        <f aca="false">MEDIAN(F7:J7)</f>
        <v>2.14</v>
      </c>
      <c r="N7" s="27" t="n">
        <f aca="false">COUNT(F7:J7)</f>
        <v>3</v>
      </c>
      <c r="O7" s="27" t="str">
        <f aca="false">IF(ABS(D7-K7)&lt;0.0001,"OK","FAIL")</f>
        <v>OK</v>
      </c>
      <c r="P7" s="30" t="s">
        <v>193</v>
      </c>
      <c r="Q7" s="30" t="s">
        <v>194</v>
      </c>
    </row>
    <row r="8" customFormat="false" ht="57.75" hidden="false" customHeight="true" outlineLevel="0" collapsed="false">
      <c r="A8" s="27" t="s">
        <v>80</v>
      </c>
      <c r="B8" s="27" t="s">
        <v>11</v>
      </c>
      <c r="C8" s="28" t="n">
        <v>2.3</v>
      </c>
      <c r="D8" s="29" t="n">
        <v>2.3333</v>
      </c>
      <c r="E8" s="27" t="s">
        <v>195</v>
      </c>
      <c r="F8" s="28" t="n">
        <v>2</v>
      </c>
      <c r="G8" s="28" t="n">
        <v>2.14</v>
      </c>
      <c r="H8" s="28" t="n">
        <v>2.3333</v>
      </c>
      <c r="I8" s="27"/>
      <c r="J8" s="27"/>
      <c r="K8" s="28" t="n">
        <f aca="false">MIN(F8:J8)</f>
        <v>2</v>
      </c>
      <c r="L8" s="28" t="n">
        <f aca="false">MAX(F8:J8)</f>
        <v>2.3333</v>
      </c>
      <c r="M8" s="28" t="n">
        <f aca="false">MEDIAN(F8:J8)</f>
        <v>2.14</v>
      </c>
      <c r="N8" s="27" t="n">
        <f aca="false">COUNT(F8:J8)</f>
        <v>3</v>
      </c>
      <c r="O8" s="27" t="str">
        <f aca="false">IF(ABS(D8-L8)&lt;0.0001,"OK","FAIL")</f>
        <v>OK</v>
      </c>
      <c r="P8" s="30" t="s">
        <v>196</v>
      </c>
      <c r="Q8" s="30" t="s">
        <v>197</v>
      </c>
    </row>
    <row r="9" customFormat="false" ht="57.75" hidden="false" customHeight="true" outlineLevel="0" collapsed="false">
      <c r="A9" s="27" t="s">
        <v>96</v>
      </c>
      <c r="B9" s="27" t="s">
        <v>9</v>
      </c>
      <c r="C9" s="28" t="n">
        <v>1.2</v>
      </c>
      <c r="D9" s="29" t="n">
        <v>1.5</v>
      </c>
      <c r="E9" s="27" t="s">
        <v>198</v>
      </c>
      <c r="F9" s="28" t="n">
        <v>1.5</v>
      </c>
      <c r="G9" s="28" t="n">
        <v>1.7</v>
      </c>
      <c r="H9" s="28" t="n">
        <v>1.9</v>
      </c>
      <c r="I9" s="28" t="n">
        <v>2</v>
      </c>
      <c r="J9" s="28" t="n">
        <v>2</v>
      </c>
      <c r="K9" s="28" t="n">
        <f aca="false">MIN(F9:J9)</f>
        <v>1.5</v>
      </c>
      <c r="L9" s="28" t="n">
        <f aca="false">MAX(F9:J9)</f>
        <v>2</v>
      </c>
      <c r="M9" s="28" t="n">
        <f aca="false">MEDIAN(F9:J9)</f>
        <v>1.9</v>
      </c>
      <c r="N9" s="27" t="n">
        <f aca="false">COUNT(F9:J9)</f>
        <v>5</v>
      </c>
      <c r="O9" s="27" t="str">
        <f aca="false">IF(ABS(D9-K9)&lt;0.0001,"OK","FAIL")</f>
        <v>OK</v>
      </c>
      <c r="P9" s="30" t="s">
        <v>199</v>
      </c>
      <c r="Q9" s="30" t="s">
        <v>200</v>
      </c>
    </row>
    <row r="10" customFormat="false" ht="57.75" hidden="false" customHeight="true" outlineLevel="0" collapsed="false">
      <c r="A10" s="27" t="s">
        <v>96</v>
      </c>
      <c r="B10" s="27" t="s">
        <v>10</v>
      </c>
      <c r="C10" s="28" t="n">
        <v>1.5</v>
      </c>
      <c r="D10" s="29" t="n">
        <v>1.9</v>
      </c>
      <c r="E10" s="27" t="s">
        <v>178</v>
      </c>
      <c r="F10" s="28" t="n">
        <v>1.5</v>
      </c>
      <c r="G10" s="28" t="n">
        <v>1.7</v>
      </c>
      <c r="H10" s="28" t="n">
        <v>1.9</v>
      </c>
      <c r="I10" s="28" t="n">
        <v>2</v>
      </c>
      <c r="J10" s="28" t="n">
        <v>2</v>
      </c>
      <c r="K10" s="28" t="n">
        <f aca="false">MIN(F10:J10)</f>
        <v>1.5</v>
      </c>
      <c r="L10" s="28" t="n">
        <f aca="false">MAX(F10:J10)</f>
        <v>2</v>
      </c>
      <c r="M10" s="28" t="n">
        <f aca="false">MEDIAN(F10:J10)</f>
        <v>1.9</v>
      </c>
      <c r="N10" s="27" t="n">
        <f aca="false">COUNT(F10:J10)</f>
        <v>5</v>
      </c>
      <c r="O10" s="27" t="str">
        <f aca="false">IF(AND(N10&gt;=3,ABS(D10-M10)&lt;0.0001,D10&lt;=L10,D10&gt;=K10),"OK","FAIL")</f>
        <v>OK</v>
      </c>
      <c r="P10" s="30" t="s">
        <v>201</v>
      </c>
      <c r="Q10" s="30" t="s">
        <v>202</v>
      </c>
    </row>
    <row r="11" customFormat="false" ht="57.75" hidden="false" customHeight="true" outlineLevel="0" collapsed="false">
      <c r="A11" s="27" t="s">
        <v>101</v>
      </c>
      <c r="B11" s="27" t="s">
        <v>10</v>
      </c>
      <c r="C11" s="28" t="n">
        <v>0.7</v>
      </c>
      <c r="D11" s="29" t="n">
        <v>0.9</v>
      </c>
      <c r="E11" s="27" t="s">
        <v>203</v>
      </c>
      <c r="F11" s="28" t="n">
        <v>0.8</v>
      </c>
      <c r="G11" s="28" t="n">
        <v>0.9</v>
      </c>
      <c r="H11" s="28" t="n">
        <v>0.9</v>
      </c>
      <c r="I11" s="28" t="n">
        <v>1</v>
      </c>
      <c r="J11" s="27"/>
      <c r="K11" s="28" t="n">
        <f aca="false">MIN(F11:J11)</f>
        <v>0.8</v>
      </c>
      <c r="L11" s="28" t="n">
        <f aca="false">MAX(F11:J11)</f>
        <v>1</v>
      </c>
      <c r="M11" s="28" t="n">
        <f aca="false">MEDIAN(F11:J11)</f>
        <v>0.9</v>
      </c>
      <c r="N11" s="27" t="n">
        <f aca="false">COUNT(F11:J11)</f>
        <v>4</v>
      </c>
      <c r="O11" s="27" t="str">
        <f aca="false">IF(AND(N11&gt;=3,ABS(D11-M11)&lt;0.0001,D11&lt;=L11,D11&gt;=K11),"OK","FAIL")</f>
        <v>OK</v>
      </c>
      <c r="P11" s="30" t="s">
        <v>204</v>
      </c>
      <c r="Q11" s="30" t="s">
        <v>205</v>
      </c>
    </row>
    <row r="12" customFormat="false" ht="57.75" hidden="false" customHeight="true" outlineLevel="0" collapsed="false">
      <c r="A12" s="27" t="s">
        <v>101</v>
      </c>
      <c r="B12" s="27" t="s">
        <v>11</v>
      </c>
      <c r="C12" s="28" t="n">
        <v>0.9</v>
      </c>
      <c r="D12" s="29" t="n">
        <v>1</v>
      </c>
      <c r="E12" s="27" t="s">
        <v>206</v>
      </c>
      <c r="F12" s="28" t="n">
        <v>0.8</v>
      </c>
      <c r="G12" s="28" t="n">
        <v>0.9</v>
      </c>
      <c r="H12" s="28" t="n">
        <v>0.9</v>
      </c>
      <c r="I12" s="28" t="n">
        <v>1</v>
      </c>
      <c r="J12" s="27"/>
      <c r="K12" s="28" t="n">
        <f aca="false">MIN(F12:J12)</f>
        <v>0.8</v>
      </c>
      <c r="L12" s="28" t="n">
        <f aca="false">MAX(F12:J12)</f>
        <v>1</v>
      </c>
      <c r="M12" s="28" t="n">
        <f aca="false">MEDIAN(F12:J12)</f>
        <v>0.9</v>
      </c>
      <c r="N12" s="27" t="n">
        <f aca="false">COUNT(F12:J12)</f>
        <v>4</v>
      </c>
      <c r="O12" s="27" t="str">
        <f aca="false">IF(ABS(D12-L12)&lt;0.0001,"OK","FAIL")</f>
        <v>OK</v>
      </c>
      <c r="P12" s="30" t="s">
        <v>207</v>
      </c>
      <c r="Q12" s="30" t="s">
        <v>191</v>
      </c>
    </row>
    <row r="13" customFormat="false" ht="57.75" hidden="false" customHeight="true" outlineLevel="0" collapsed="false">
      <c r="A13" s="27" t="s">
        <v>109</v>
      </c>
      <c r="B13" s="27" t="s">
        <v>9</v>
      </c>
      <c r="C13" s="28" t="n">
        <v>0.4</v>
      </c>
      <c r="D13" s="29" t="n">
        <v>0.25</v>
      </c>
      <c r="E13" s="27" t="s">
        <v>208</v>
      </c>
      <c r="F13" s="27"/>
      <c r="G13" s="27"/>
      <c r="H13" s="27"/>
      <c r="I13" s="27"/>
      <c r="J13" s="27"/>
      <c r="K13" s="27"/>
      <c r="L13" s="27"/>
      <c r="M13" s="27"/>
      <c r="N13" s="27"/>
      <c r="O13" s="31" t="str">
        <f aca="false">"VERIFY Tier 1b"</f>
        <v>VERIFY Tier 1b</v>
      </c>
      <c r="P13" s="30" t="s">
        <v>209</v>
      </c>
      <c r="Q13" s="30" t="s">
        <v>186</v>
      </c>
    </row>
    <row r="14" customFormat="false" ht="57.75" hidden="false" customHeight="true" outlineLevel="0" collapsed="false">
      <c r="A14" s="27" t="s">
        <v>113</v>
      </c>
      <c r="B14" s="27" t="s">
        <v>9</v>
      </c>
      <c r="C14" s="28" t="n">
        <v>0.5</v>
      </c>
      <c r="D14" s="29" t="n">
        <v>0.33</v>
      </c>
      <c r="E14" s="27" t="s">
        <v>208</v>
      </c>
      <c r="F14" s="27"/>
      <c r="G14" s="27"/>
      <c r="H14" s="27"/>
      <c r="I14" s="27"/>
      <c r="J14" s="27"/>
      <c r="K14" s="27"/>
      <c r="L14" s="27"/>
      <c r="M14" s="27"/>
      <c r="N14" s="27"/>
      <c r="O14" s="31" t="str">
        <f aca="false">"VERIFY Tier 1b"</f>
        <v>VERIFY Tier 1b</v>
      </c>
      <c r="P14" s="30" t="s">
        <v>210</v>
      </c>
      <c r="Q14" s="30" t="s">
        <v>186</v>
      </c>
    </row>
    <row r="15" customFormat="false" ht="57.75" hidden="false" customHeight="true" outlineLevel="0" collapsed="false">
      <c r="A15" s="27" t="s">
        <v>120</v>
      </c>
      <c r="B15" s="27" t="s">
        <v>9</v>
      </c>
      <c r="C15" s="28" t="n">
        <v>0.83</v>
      </c>
      <c r="D15" s="29" t="n">
        <v>0.4</v>
      </c>
      <c r="E15" s="27" t="s">
        <v>208</v>
      </c>
      <c r="F15" s="27"/>
      <c r="G15" s="27"/>
      <c r="H15" s="27"/>
      <c r="I15" s="27"/>
      <c r="J15" s="27"/>
      <c r="K15" s="27"/>
      <c r="L15" s="27"/>
      <c r="M15" s="27"/>
      <c r="N15" s="27"/>
      <c r="O15" s="31" t="str">
        <f aca="false">"VERIFY Tier 1b"</f>
        <v>VERIFY Tier 1b</v>
      </c>
      <c r="P15" s="30" t="s">
        <v>211</v>
      </c>
      <c r="Q15" s="30" t="s">
        <v>212</v>
      </c>
    </row>
    <row r="16" customFormat="false" ht="57.75" hidden="false" customHeight="true" outlineLevel="0" collapsed="false">
      <c r="A16" s="27" t="s">
        <v>124</v>
      </c>
      <c r="B16" s="27" t="s">
        <v>9</v>
      </c>
      <c r="C16" s="28" t="n">
        <v>1</v>
      </c>
      <c r="D16" s="29" t="n">
        <v>0.7</v>
      </c>
      <c r="E16" s="27" t="s">
        <v>213</v>
      </c>
      <c r="F16" s="27"/>
      <c r="G16" s="27"/>
      <c r="H16" s="27"/>
      <c r="I16" s="27"/>
      <c r="J16" s="27"/>
      <c r="K16" s="27"/>
      <c r="L16" s="27"/>
      <c r="M16" s="27"/>
      <c r="N16" s="27"/>
      <c r="O16" s="31" t="str">
        <f aca="false">"VERIFY Tier 1b"</f>
        <v>VERIFY Tier 1b</v>
      </c>
      <c r="P16" s="30" t="s">
        <v>214</v>
      </c>
      <c r="Q16" s="30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11"/>
    <col collapsed="false" customWidth="true" hidden="false" outlineLevel="0" max="6" min="5" style="1" width="16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42"/>
  </cols>
  <sheetData>
    <row r="1" customFormat="false" ht="27.75" hidden="false" customHeight="true" outlineLevel="0" collapsed="false">
      <c r="A1" s="15" t="s">
        <v>51</v>
      </c>
      <c r="B1" s="15" t="s">
        <v>216</v>
      </c>
      <c r="C1" s="15" t="s">
        <v>217</v>
      </c>
      <c r="D1" s="15" t="s">
        <v>218</v>
      </c>
      <c r="E1" s="15" t="s">
        <v>219</v>
      </c>
      <c r="F1" s="15" t="s">
        <v>220</v>
      </c>
      <c r="G1" s="15" t="s">
        <v>221</v>
      </c>
      <c r="H1" s="15" t="s">
        <v>222</v>
      </c>
      <c r="I1" s="15" t="s">
        <v>223</v>
      </c>
    </row>
    <row r="2" customFormat="false" ht="30" hidden="false" customHeight="true" outlineLevel="0" collapsed="false">
      <c r="A2" s="7" t="s">
        <v>67</v>
      </c>
      <c r="B2" s="7" t="s">
        <v>224</v>
      </c>
      <c r="C2" s="7" t="s">
        <v>225</v>
      </c>
      <c r="D2" s="17" t="n">
        <v>1.6</v>
      </c>
      <c r="E2" s="7" t="s">
        <v>226</v>
      </c>
      <c r="F2" s="32" t="s">
        <v>227</v>
      </c>
      <c r="G2" s="7" t="s">
        <v>228</v>
      </c>
      <c r="H2" s="7" t="s">
        <v>229</v>
      </c>
      <c r="I2" s="7" t="s">
        <v>230</v>
      </c>
    </row>
    <row r="3" customFormat="false" ht="30" hidden="false" customHeight="true" outlineLevel="0" collapsed="false">
      <c r="A3" s="7" t="s">
        <v>67</v>
      </c>
      <c r="B3" s="7" t="s">
        <v>231</v>
      </c>
      <c r="C3" s="7" t="s">
        <v>225</v>
      </c>
      <c r="D3" s="17" t="n">
        <v>2</v>
      </c>
      <c r="E3" s="7" t="s">
        <v>226</v>
      </c>
      <c r="F3" s="32" t="s">
        <v>227</v>
      </c>
      <c r="G3" s="7" t="s">
        <v>228</v>
      </c>
      <c r="H3" s="7" t="s">
        <v>232</v>
      </c>
      <c r="I3" s="7" t="s">
        <v>233</v>
      </c>
    </row>
    <row r="4" customFormat="false" ht="30" hidden="false" customHeight="true" outlineLevel="0" collapsed="false">
      <c r="A4" s="7" t="s">
        <v>67</v>
      </c>
      <c r="B4" s="7" t="s">
        <v>234</v>
      </c>
      <c r="C4" s="7" t="s">
        <v>225</v>
      </c>
      <c r="D4" s="17" t="n">
        <v>2</v>
      </c>
      <c r="E4" s="7" t="s">
        <v>226</v>
      </c>
      <c r="F4" s="32" t="s">
        <v>227</v>
      </c>
      <c r="G4" s="7" t="s">
        <v>228</v>
      </c>
      <c r="H4" s="7" t="s">
        <v>235</v>
      </c>
      <c r="I4" s="7" t="s">
        <v>236</v>
      </c>
    </row>
    <row r="5" customFormat="false" ht="30" hidden="false" customHeight="true" outlineLevel="0" collapsed="false">
      <c r="A5" s="7" t="s">
        <v>67</v>
      </c>
      <c r="B5" s="7" t="s">
        <v>237</v>
      </c>
      <c r="C5" s="7" t="s">
        <v>238</v>
      </c>
      <c r="D5" s="17" t="n">
        <v>1</v>
      </c>
      <c r="E5" s="7" t="s">
        <v>92</v>
      </c>
      <c r="F5" s="32" t="s">
        <v>239</v>
      </c>
      <c r="G5" s="7" t="s">
        <v>240</v>
      </c>
      <c r="H5" s="7" t="s">
        <v>241</v>
      </c>
      <c r="I5" s="7" t="s">
        <v>242</v>
      </c>
    </row>
    <row r="6" customFormat="false" ht="30" hidden="false" customHeight="true" outlineLevel="0" collapsed="false">
      <c r="A6" s="7" t="s">
        <v>67</v>
      </c>
      <c r="B6" s="7" t="s">
        <v>243</v>
      </c>
      <c r="C6" s="7" t="s">
        <v>244</v>
      </c>
      <c r="D6" s="17" t="n">
        <v>3.3</v>
      </c>
      <c r="E6" s="7" t="s">
        <v>92</v>
      </c>
      <c r="F6" s="32" t="s">
        <v>245</v>
      </c>
      <c r="G6" s="7" t="s">
        <v>246</v>
      </c>
      <c r="H6" s="7" t="s">
        <v>247</v>
      </c>
      <c r="I6" s="7" t="s">
        <v>248</v>
      </c>
    </row>
    <row r="7" customFormat="false" ht="30" hidden="false" customHeight="true" outlineLevel="0" collapsed="false">
      <c r="A7" s="7" t="s">
        <v>67</v>
      </c>
      <c r="B7" s="7" t="s">
        <v>249</v>
      </c>
      <c r="C7" s="7" t="s">
        <v>244</v>
      </c>
      <c r="D7" s="17" t="n">
        <v>3</v>
      </c>
      <c r="E7" s="7" t="s">
        <v>92</v>
      </c>
      <c r="F7" s="32" t="s">
        <v>245</v>
      </c>
      <c r="G7" s="7" t="s">
        <v>246</v>
      </c>
      <c r="H7" s="7" t="s">
        <v>250</v>
      </c>
      <c r="I7" s="7" t="s">
        <v>251</v>
      </c>
    </row>
    <row r="8" customFormat="false" ht="30" hidden="false" customHeight="true" outlineLevel="0" collapsed="false">
      <c r="A8" s="7" t="s">
        <v>67</v>
      </c>
      <c r="B8" s="7" t="s">
        <v>252</v>
      </c>
      <c r="C8" s="7" t="s">
        <v>253</v>
      </c>
      <c r="D8" s="17" t="n">
        <v>2.2</v>
      </c>
      <c r="E8" s="7" t="s">
        <v>254</v>
      </c>
      <c r="F8" s="32" t="s">
        <v>255</v>
      </c>
      <c r="G8" s="7" t="s">
        <v>240</v>
      </c>
      <c r="H8" s="7" t="s">
        <v>256</v>
      </c>
      <c r="I8" s="7" t="s">
        <v>257</v>
      </c>
    </row>
    <row r="9" customFormat="false" ht="30" hidden="false" customHeight="true" outlineLevel="0" collapsed="false">
      <c r="A9" s="7" t="s">
        <v>67</v>
      </c>
      <c r="B9" s="7" t="s">
        <v>258</v>
      </c>
      <c r="C9" s="33" t="s">
        <v>259</v>
      </c>
      <c r="D9" s="7" t="s">
        <v>92</v>
      </c>
      <c r="E9" s="7" t="s">
        <v>92</v>
      </c>
      <c r="F9" s="7" t="s">
        <v>92</v>
      </c>
      <c r="G9" s="7" t="s">
        <v>260</v>
      </c>
      <c r="H9" s="7" t="s">
        <v>261</v>
      </c>
      <c r="I9" s="7" t="s">
        <v>262</v>
      </c>
    </row>
    <row r="10" customFormat="false" ht="30" hidden="false" customHeight="true" outlineLevel="0" collapsed="false">
      <c r="A10" s="7" t="s">
        <v>74</v>
      </c>
      <c r="B10" s="7" t="s">
        <v>234</v>
      </c>
      <c r="C10" s="7" t="s">
        <v>225</v>
      </c>
      <c r="D10" s="17" t="n">
        <v>1.7</v>
      </c>
      <c r="E10" s="7" t="s">
        <v>263</v>
      </c>
      <c r="F10" s="7" t="s">
        <v>264</v>
      </c>
      <c r="G10" s="7" t="s">
        <v>228</v>
      </c>
      <c r="H10" s="7" t="s">
        <v>235</v>
      </c>
      <c r="I10" s="7" t="s">
        <v>265</v>
      </c>
    </row>
    <row r="11" customFormat="false" ht="30" hidden="false" customHeight="true" outlineLevel="0" collapsed="false">
      <c r="A11" s="7" t="s">
        <v>74</v>
      </c>
      <c r="B11" s="7" t="s">
        <v>231</v>
      </c>
      <c r="C11" s="7" t="s">
        <v>225</v>
      </c>
      <c r="D11" s="17" t="n">
        <v>2.2</v>
      </c>
      <c r="E11" s="7" t="s">
        <v>263</v>
      </c>
      <c r="F11" s="7" t="s">
        <v>264</v>
      </c>
      <c r="G11" s="7" t="s">
        <v>228</v>
      </c>
      <c r="H11" s="7" t="s">
        <v>232</v>
      </c>
      <c r="I11" s="7" t="s">
        <v>266</v>
      </c>
    </row>
    <row r="12" customFormat="false" ht="30" hidden="false" customHeight="true" outlineLevel="0" collapsed="false">
      <c r="A12" s="7" t="s">
        <v>74</v>
      </c>
      <c r="B12" s="7" t="s">
        <v>267</v>
      </c>
      <c r="C12" s="7" t="s">
        <v>225</v>
      </c>
      <c r="D12" s="17" t="n">
        <v>2</v>
      </c>
      <c r="E12" s="7" t="s">
        <v>268</v>
      </c>
      <c r="F12" s="32" t="s">
        <v>227</v>
      </c>
      <c r="G12" s="7" t="s">
        <v>228</v>
      </c>
      <c r="H12" s="7" t="s">
        <v>269</v>
      </c>
      <c r="I12" s="7" t="s">
        <v>270</v>
      </c>
    </row>
    <row r="13" customFormat="false" ht="30" hidden="false" customHeight="true" outlineLevel="0" collapsed="false">
      <c r="A13" s="7" t="s">
        <v>74</v>
      </c>
      <c r="B13" s="7" t="s">
        <v>271</v>
      </c>
      <c r="C13" s="33" t="s">
        <v>272</v>
      </c>
      <c r="D13" s="17" t="n">
        <v>2</v>
      </c>
      <c r="E13" s="7" t="s">
        <v>263</v>
      </c>
      <c r="F13" s="7" t="s">
        <v>273</v>
      </c>
      <c r="G13" s="7" t="s">
        <v>274</v>
      </c>
      <c r="H13" s="7" t="s">
        <v>275</v>
      </c>
      <c r="I13" s="7" t="s">
        <v>276</v>
      </c>
    </row>
    <row r="14" customFormat="false" ht="30" hidden="false" customHeight="true" outlineLevel="0" collapsed="false">
      <c r="A14" s="7" t="s">
        <v>74</v>
      </c>
      <c r="B14" s="7" t="s">
        <v>277</v>
      </c>
      <c r="C14" s="7" t="s">
        <v>278</v>
      </c>
      <c r="D14" s="17" t="n">
        <v>1</v>
      </c>
      <c r="E14" s="7" t="s">
        <v>279</v>
      </c>
      <c r="F14" s="7" t="s">
        <v>280</v>
      </c>
      <c r="G14" s="7" t="s">
        <v>240</v>
      </c>
      <c r="H14" s="7" t="s">
        <v>281</v>
      </c>
      <c r="I14" s="7" t="s">
        <v>282</v>
      </c>
    </row>
    <row r="15" customFormat="false" ht="30" hidden="false" customHeight="true" outlineLevel="0" collapsed="false">
      <c r="A15" s="7" t="s">
        <v>74</v>
      </c>
      <c r="B15" s="7" t="s">
        <v>283</v>
      </c>
      <c r="C15" s="7" t="s">
        <v>284</v>
      </c>
      <c r="D15" s="7" t="s">
        <v>92</v>
      </c>
      <c r="E15" s="7" t="s">
        <v>92</v>
      </c>
      <c r="F15" s="32" t="s">
        <v>285</v>
      </c>
      <c r="G15" s="7" t="s">
        <v>240</v>
      </c>
      <c r="H15" s="7" t="s">
        <v>286</v>
      </c>
      <c r="I15" s="7" t="s">
        <v>287</v>
      </c>
    </row>
    <row r="16" customFormat="false" ht="30" hidden="false" customHeight="true" outlineLevel="0" collapsed="false">
      <c r="A16" s="7" t="s">
        <v>80</v>
      </c>
      <c r="B16" s="7" t="s">
        <v>288</v>
      </c>
      <c r="C16" s="7" t="s">
        <v>289</v>
      </c>
      <c r="D16" s="17" t="n">
        <v>2.3333</v>
      </c>
      <c r="E16" s="7" t="s">
        <v>92</v>
      </c>
      <c r="F16" s="32" t="s">
        <v>290</v>
      </c>
      <c r="G16" s="7" t="s">
        <v>240</v>
      </c>
      <c r="H16" s="7" t="s">
        <v>291</v>
      </c>
      <c r="I16" s="7" t="s">
        <v>292</v>
      </c>
    </row>
    <row r="17" customFormat="false" ht="30" hidden="false" customHeight="true" outlineLevel="0" collapsed="false">
      <c r="A17" s="7" t="s">
        <v>80</v>
      </c>
      <c r="B17" s="7" t="s">
        <v>293</v>
      </c>
      <c r="C17" s="7" t="s">
        <v>294</v>
      </c>
      <c r="D17" s="17" t="n">
        <v>1</v>
      </c>
      <c r="E17" s="7" t="s">
        <v>295</v>
      </c>
      <c r="F17" s="7" t="s">
        <v>280</v>
      </c>
      <c r="G17" s="7" t="s">
        <v>240</v>
      </c>
      <c r="H17" s="7" t="s">
        <v>296</v>
      </c>
      <c r="I17" s="7" t="s">
        <v>282</v>
      </c>
    </row>
    <row r="18" customFormat="false" ht="30" hidden="false" customHeight="true" outlineLevel="0" collapsed="false">
      <c r="A18" s="7" t="s">
        <v>96</v>
      </c>
      <c r="B18" s="7" t="s">
        <v>297</v>
      </c>
      <c r="C18" s="7" t="s">
        <v>225</v>
      </c>
      <c r="D18" s="17" t="n">
        <v>1.5</v>
      </c>
      <c r="E18" s="7" t="s">
        <v>263</v>
      </c>
      <c r="F18" s="7" t="s">
        <v>264</v>
      </c>
      <c r="G18" s="7" t="s">
        <v>228</v>
      </c>
      <c r="H18" s="7" t="s">
        <v>298</v>
      </c>
      <c r="I18" s="7" t="s">
        <v>299</v>
      </c>
    </row>
    <row r="19" customFormat="false" ht="30" hidden="false" customHeight="true" outlineLevel="0" collapsed="false">
      <c r="A19" s="7" t="s">
        <v>96</v>
      </c>
      <c r="B19" s="7" t="s">
        <v>234</v>
      </c>
      <c r="C19" s="7" t="s">
        <v>225</v>
      </c>
      <c r="D19" s="17" t="n">
        <v>1.7</v>
      </c>
      <c r="E19" s="7" t="s">
        <v>263</v>
      </c>
      <c r="F19" s="7" t="s">
        <v>264</v>
      </c>
      <c r="G19" s="7" t="s">
        <v>228</v>
      </c>
      <c r="H19" s="7" t="s">
        <v>235</v>
      </c>
      <c r="I19" s="7"/>
    </row>
    <row r="20" customFormat="false" ht="30" hidden="false" customHeight="true" outlineLevel="0" collapsed="false">
      <c r="A20" s="7" t="s">
        <v>96</v>
      </c>
      <c r="B20" s="7" t="s">
        <v>300</v>
      </c>
      <c r="C20" s="7" t="s">
        <v>225</v>
      </c>
      <c r="D20" s="17" t="n">
        <v>1.9</v>
      </c>
      <c r="E20" s="7" t="s">
        <v>263</v>
      </c>
      <c r="F20" s="7" t="s">
        <v>264</v>
      </c>
      <c r="G20" s="7" t="s">
        <v>228</v>
      </c>
      <c r="H20" s="7" t="s">
        <v>301</v>
      </c>
      <c r="I20" s="7"/>
    </row>
    <row r="21" customFormat="false" ht="30" hidden="false" customHeight="true" outlineLevel="0" collapsed="false">
      <c r="A21" s="7" t="s">
        <v>96</v>
      </c>
      <c r="B21" s="7" t="s">
        <v>267</v>
      </c>
      <c r="C21" s="7" t="s">
        <v>225</v>
      </c>
      <c r="D21" s="17" t="n">
        <v>2</v>
      </c>
      <c r="E21" s="7" t="s">
        <v>263</v>
      </c>
      <c r="F21" s="7" t="s">
        <v>264</v>
      </c>
      <c r="G21" s="7" t="s">
        <v>228</v>
      </c>
      <c r="H21" s="7" t="s">
        <v>269</v>
      </c>
      <c r="I21" s="7"/>
    </row>
    <row r="22" customFormat="false" ht="30" hidden="false" customHeight="true" outlineLevel="0" collapsed="false">
      <c r="A22" s="7" t="s">
        <v>96</v>
      </c>
      <c r="B22" s="7" t="s">
        <v>231</v>
      </c>
      <c r="C22" s="7" t="s">
        <v>225</v>
      </c>
      <c r="D22" s="17" t="n">
        <v>2</v>
      </c>
      <c r="E22" s="7" t="s">
        <v>263</v>
      </c>
      <c r="F22" s="7" t="s">
        <v>264</v>
      </c>
      <c r="G22" s="7" t="s">
        <v>228</v>
      </c>
      <c r="H22" s="7" t="s">
        <v>232</v>
      </c>
      <c r="I22" s="7"/>
    </row>
    <row r="23" customFormat="false" ht="30" hidden="false" customHeight="true" outlineLevel="0" collapsed="false">
      <c r="A23" s="7" t="s">
        <v>101</v>
      </c>
      <c r="B23" s="7" t="s">
        <v>302</v>
      </c>
      <c r="C23" s="7" t="s">
        <v>225</v>
      </c>
      <c r="D23" s="17" t="n">
        <v>1</v>
      </c>
      <c r="E23" s="7" t="s">
        <v>263</v>
      </c>
      <c r="F23" s="7" t="s">
        <v>303</v>
      </c>
      <c r="G23" s="7" t="s">
        <v>228</v>
      </c>
      <c r="H23" s="7" t="s">
        <v>304</v>
      </c>
      <c r="I23" s="7" t="s">
        <v>305</v>
      </c>
    </row>
    <row r="24" customFormat="false" ht="30" hidden="false" customHeight="true" outlineLevel="0" collapsed="false">
      <c r="A24" s="7" t="s">
        <v>101</v>
      </c>
      <c r="B24" s="7" t="s">
        <v>297</v>
      </c>
      <c r="C24" s="7" t="s">
        <v>225</v>
      </c>
      <c r="D24" s="17" t="n">
        <v>0.9</v>
      </c>
      <c r="E24" s="7" t="s">
        <v>263</v>
      </c>
      <c r="F24" s="7" t="s">
        <v>303</v>
      </c>
      <c r="G24" s="7" t="s">
        <v>228</v>
      </c>
      <c r="H24" s="7" t="s">
        <v>306</v>
      </c>
      <c r="I24" s="7" t="s">
        <v>307</v>
      </c>
    </row>
    <row r="25" customFormat="false" ht="30" hidden="false" customHeight="true" outlineLevel="0" collapsed="false">
      <c r="A25" s="7" t="s">
        <v>101</v>
      </c>
      <c r="B25" s="7" t="s">
        <v>231</v>
      </c>
      <c r="C25" s="7" t="s">
        <v>225</v>
      </c>
      <c r="D25" s="17" t="n">
        <v>0.8</v>
      </c>
      <c r="E25" s="7" t="s">
        <v>308</v>
      </c>
      <c r="F25" s="32" t="s">
        <v>309</v>
      </c>
      <c r="G25" s="7" t="s">
        <v>228</v>
      </c>
      <c r="H25" s="7" t="s">
        <v>232</v>
      </c>
      <c r="I25" s="7" t="s">
        <v>310</v>
      </c>
    </row>
    <row r="26" customFormat="false" ht="30" hidden="false" customHeight="true" outlineLevel="0" collapsed="false">
      <c r="A26" s="7" t="s">
        <v>101</v>
      </c>
      <c r="B26" s="7" t="s">
        <v>234</v>
      </c>
      <c r="C26" s="7" t="s">
        <v>225</v>
      </c>
      <c r="D26" s="17" t="n">
        <v>0.9</v>
      </c>
      <c r="E26" s="7" t="s">
        <v>308</v>
      </c>
      <c r="F26" s="32" t="s">
        <v>309</v>
      </c>
      <c r="G26" s="7" t="s">
        <v>228</v>
      </c>
      <c r="H26" s="7" t="s">
        <v>235</v>
      </c>
      <c r="I26" s="7" t="s">
        <v>310</v>
      </c>
    </row>
    <row r="27" customFormat="false" ht="30" hidden="false" customHeight="true" outlineLevel="0" collapsed="false">
      <c r="A27" s="7" t="s">
        <v>101</v>
      </c>
      <c r="B27" s="7" t="s">
        <v>311</v>
      </c>
      <c r="C27" s="33" t="s">
        <v>312</v>
      </c>
      <c r="D27" s="17" t="n">
        <v>0.73</v>
      </c>
      <c r="E27" s="7" t="s">
        <v>313</v>
      </c>
      <c r="F27" s="7" t="s">
        <v>92</v>
      </c>
      <c r="G27" s="7" t="s">
        <v>260</v>
      </c>
      <c r="H27" s="7" t="s">
        <v>314</v>
      </c>
      <c r="I27" s="7" t="s">
        <v>315</v>
      </c>
    </row>
    <row r="28" customFormat="false" ht="30" hidden="false" customHeight="true" outlineLevel="0" collapsed="false">
      <c r="A28" s="7" t="s">
        <v>109</v>
      </c>
      <c r="B28" s="7" t="s">
        <v>316</v>
      </c>
      <c r="C28" s="7" t="s">
        <v>317</v>
      </c>
      <c r="D28" s="17" t="n">
        <v>0.25</v>
      </c>
      <c r="E28" s="7" t="s">
        <v>92</v>
      </c>
      <c r="F28" s="32" t="s">
        <v>318</v>
      </c>
      <c r="G28" s="7" t="s">
        <v>240</v>
      </c>
      <c r="H28" s="7" t="s">
        <v>319</v>
      </c>
      <c r="I28" s="7" t="s">
        <v>320</v>
      </c>
    </row>
    <row r="29" customFormat="false" ht="30" hidden="false" customHeight="true" outlineLevel="0" collapsed="false">
      <c r="A29" s="7" t="s">
        <v>113</v>
      </c>
      <c r="B29" s="7" t="s">
        <v>321</v>
      </c>
      <c r="C29" s="7" t="s">
        <v>317</v>
      </c>
      <c r="D29" s="17" t="n">
        <v>0.33</v>
      </c>
      <c r="E29" s="7" t="s">
        <v>92</v>
      </c>
      <c r="F29" s="32" t="s">
        <v>318</v>
      </c>
      <c r="G29" s="7" t="s">
        <v>240</v>
      </c>
      <c r="H29" s="7" t="s">
        <v>322</v>
      </c>
      <c r="I29" s="7" t="s">
        <v>323</v>
      </c>
    </row>
    <row r="30" customFormat="false" ht="30" hidden="false" customHeight="true" outlineLevel="0" collapsed="false">
      <c r="A30" s="7" t="s">
        <v>120</v>
      </c>
      <c r="B30" s="7" t="s">
        <v>324</v>
      </c>
      <c r="C30" s="7" t="s">
        <v>317</v>
      </c>
      <c r="D30" s="17" t="n">
        <v>0.4</v>
      </c>
      <c r="E30" s="7" t="s">
        <v>92</v>
      </c>
      <c r="F30" s="32" t="s">
        <v>318</v>
      </c>
      <c r="G30" s="7" t="s">
        <v>240</v>
      </c>
      <c r="H30" s="7" t="s">
        <v>325</v>
      </c>
      <c r="I30" s="7" t="s">
        <v>326</v>
      </c>
    </row>
    <row r="31" customFormat="false" ht="30" hidden="false" customHeight="true" outlineLevel="0" collapsed="false">
      <c r="A31" s="7" t="s">
        <v>124</v>
      </c>
      <c r="B31" s="7" t="s">
        <v>327</v>
      </c>
      <c r="C31" s="7" t="s">
        <v>317</v>
      </c>
      <c r="D31" s="17" t="n">
        <v>0.7</v>
      </c>
      <c r="E31" s="7" t="s">
        <v>92</v>
      </c>
      <c r="F31" s="32" t="s">
        <v>318</v>
      </c>
      <c r="G31" s="7" t="s">
        <v>240</v>
      </c>
      <c r="H31" s="7" t="s">
        <v>328</v>
      </c>
      <c r="I31" s="7" t="s">
        <v>329</v>
      </c>
    </row>
    <row r="32" customFormat="false" ht="30" hidden="false" customHeight="true" outlineLevel="0" collapsed="false">
      <c r="A32" s="7" t="s">
        <v>106</v>
      </c>
      <c r="B32" s="7" t="s">
        <v>330</v>
      </c>
      <c r="C32" s="7" t="s">
        <v>331</v>
      </c>
      <c r="D32" s="17" t="n">
        <v>2.2857</v>
      </c>
      <c r="E32" s="7" t="s">
        <v>263</v>
      </c>
      <c r="F32" s="7" t="s">
        <v>332</v>
      </c>
      <c r="G32" s="7" t="s">
        <v>240</v>
      </c>
      <c r="H32" s="7" t="s">
        <v>333</v>
      </c>
      <c r="I32" s="7" t="s">
        <v>334</v>
      </c>
    </row>
    <row r="33" customFormat="false" ht="30" hidden="false" customHeight="true" outlineLevel="0" collapsed="false">
      <c r="A33" s="7" t="s">
        <v>90</v>
      </c>
      <c r="B33" s="7" t="s">
        <v>335</v>
      </c>
      <c r="C33" s="7" t="s">
        <v>336</v>
      </c>
      <c r="D33" s="17" t="n">
        <v>1</v>
      </c>
      <c r="E33" s="7" t="s">
        <v>263</v>
      </c>
      <c r="F33" s="7" t="s">
        <v>332</v>
      </c>
      <c r="G33" s="7" t="s">
        <v>240</v>
      </c>
      <c r="H33" s="7" t="s">
        <v>337</v>
      </c>
      <c r="I33" s="7" t="s">
        <v>338</v>
      </c>
    </row>
    <row r="34" customFormat="false" ht="30" hidden="false" customHeight="true" outlineLevel="0" collapsed="false">
      <c r="A34" s="7" t="s">
        <v>129</v>
      </c>
      <c r="B34" s="7" t="s">
        <v>339</v>
      </c>
      <c r="C34" s="7" t="s">
        <v>278</v>
      </c>
      <c r="D34" s="17" t="n">
        <v>0.667</v>
      </c>
      <c r="E34" s="7" t="s">
        <v>340</v>
      </c>
      <c r="F34" s="7" t="s">
        <v>280</v>
      </c>
      <c r="G34" s="7" t="s">
        <v>240</v>
      </c>
      <c r="H34" s="7" t="s">
        <v>341</v>
      </c>
      <c r="I34" s="7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34" t="s">
        <v>343</v>
      </c>
    </row>
    <row r="2" customFormat="false" ht="15" hidden="false" customHeight="true" outlineLevel="0" collapsed="false">
      <c r="A2" s="35" t="s">
        <v>344</v>
      </c>
    </row>
    <row r="3" customFormat="false" ht="15" hidden="false" customHeight="true" outlineLevel="0" collapsed="false">
      <c r="A3" s="35" t="s">
        <v>345</v>
      </c>
    </row>
    <row r="4" customFormat="false" ht="15" hidden="false" customHeight="true" outlineLevel="0" collapsed="false">
      <c r="A4" s="35" t="s">
        <v>346</v>
      </c>
    </row>
    <row r="5" customFormat="false" ht="15" hidden="false" customHeight="true" outlineLevel="0" collapsed="false">
      <c r="A5" s="35" t="s">
        <v>347</v>
      </c>
    </row>
    <row r="6" customFormat="false" ht="15" hidden="false" customHeight="true" outlineLevel="0" collapsed="false">
      <c r="A6" s="35" t="s">
        <v>348</v>
      </c>
    </row>
    <row r="7" customFormat="false" ht="15" hidden="false" customHeight="true" outlineLevel="0" collapsed="false">
      <c r="A7" s="35" t="s">
        <v>349</v>
      </c>
    </row>
    <row r="8" customFormat="false" ht="15" hidden="false" customHeight="true" outlineLevel="0" collapsed="false">
      <c r="A8" s="35" t="s">
        <v>350</v>
      </c>
    </row>
    <row r="9" customFormat="false" ht="15" hidden="false" customHeight="true" outlineLevel="0" collapsed="false">
      <c r="A9" s="35" t="s">
        <v>351</v>
      </c>
    </row>
    <row r="10" customFormat="false" ht="15" hidden="false" customHeight="true" outlineLevel="0" collapsed="false">
      <c r="A10" s="35" t="s">
        <v>352</v>
      </c>
    </row>
    <row r="11" customFormat="false" ht="15" hidden="false" customHeight="true" outlineLevel="0" collapsed="false">
      <c r="A11" s="35" t="s">
        <v>353</v>
      </c>
    </row>
    <row r="13" customFormat="false" ht="15" hidden="false" customHeight="true" outlineLevel="0" collapsed="false">
      <c r="A13" s="34" t="s">
        <v>354</v>
      </c>
    </row>
    <row r="14" customFormat="false" ht="15" hidden="false" customHeight="true" outlineLevel="0" collapsed="false">
      <c r="A14" s="35" t="s">
        <v>355</v>
      </c>
    </row>
    <row r="15" customFormat="false" ht="15" hidden="false" customHeight="true" outlineLevel="0" collapsed="false">
      <c r="A15" s="35" t="s">
        <v>356</v>
      </c>
    </row>
    <row r="16" customFormat="false" ht="15" hidden="false" customHeight="true" outlineLevel="0" collapsed="false">
      <c r="A16" s="35" t="s">
        <v>357</v>
      </c>
    </row>
    <row r="17" customFormat="false" ht="15" hidden="false" customHeight="true" outlineLevel="0" collapsed="false">
      <c r="A17" s="35" t="s">
        <v>358</v>
      </c>
    </row>
    <row r="18" customFormat="false" ht="15" hidden="false" customHeight="true" outlineLevel="0" collapsed="false">
      <c r="A18" s="35" t="s">
        <v>359</v>
      </c>
    </row>
    <row r="19" customFormat="false" ht="15" hidden="false" customHeight="true" outlineLevel="0" collapsed="false">
      <c r="A19" s="35" t="s">
        <v>360</v>
      </c>
    </row>
    <row r="20" customFormat="false" ht="15" hidden="false" customHeight="true" outlineLevel="0" collapsed="false">
      <c r="A20" s="35" t="s">
        <v>361</v>
      </c>
    </row>
    <row r="21" customFormat="false" ht="15" hidden="false" customHeight="true" outlineLevel="0" collapsed="false">
      <c r="A21" s="35" t="s">
        <v>362</v>
      </c>
    </row>
    <row r="22" customFormat="false" ht="15" hidden="false" customHeight="true" outlineLevel="0" collapsed="false">
      <c r="A22" s="35" t="s">
        <v>363</v>
      </c>
    </row>
    <row r="23" customFormat="false" ht="15" hidden="false" customHeight="true" outlineLevel="0" collapsed="false">
      <c r="A23" s="35" t="s">
        <v>364</v>
      </c>
    </row>
    <row r="24" customFormat="false" ht="15" hidden="false" customHeight="true" outlineLevel="0" collapsed="false">
      <c r="A24" s="35" t="s">
        <v>365</v>
      </c>
    </row>
    <row r="25" customFormat="false" ht="15" hidden="false" customHeight="true" outlineLevel="0" collapsed="false">
      <c r="A25" s="35" t="s">
        <v>366</v>
      </c>
    </row>
    <row r="26" customFormat="false" ht="15" hidden="false" customHeight="true" outlineLevel="0" collapsed="false">
      <c r="A26" s="35" t="s">
        <v>367</v>
      </c>
    </row>
    <row r="27" customFormat="false" ht="15" hidden="false" customHeight="true" outlineLevel="0" collapsed="false">
      <c r="A27" s="35" t="s">
        <v>368</v>
      </c>
    </row>
    <row r="28" customFormat="false" ht="15" hidden="false" customHeight="true" outlineLevel="0" collapsed="false">
      <c r="A28" s="35" t="s">
        <v>369</v>
      </c>
    </row>
    <row r="29" customFormat="false" ht="15" hidden="false" customHeight="true" outlineLevel="0" collapsed="false">
      <c r="A29" s="35" t="s">
        <v>370</v>
      </c>
    </row>
    <row r="30" customFormat="false" ht="15" hidden="false" customHeight="true" outlineLevel="0" collapsed="false">
      <c r="A30" s="35" t="s">
        <v>371</v>
      </c>
    </row>
    <row r="31" customFormat="false" ht="15" hidden="false" customHeight="true" outlineLevel="0" collapsed="false">
      <c r="A31" s="35" t="s">
        <v>372</v>
      </c>
    </row>
    <row r="33" customFormat="false" ht="15" hidden="false" customHeight="true" outlineLevel="0" collapsed="false">
      <c r="A33" s="34" t="s">
        <v>373</v>
      </c>
    </row>
    <row r="34" customFormat="false" ht="15" hidden="false" customHeight="true" outlineLevel="0" collapsed="false">
      <c r="A34" s="35" t="s">
        <v>355</v>
      </c>
    </row>
    <row r="35" customFormat="false" ht="15" hidden="false" customHeight="true" outlineLevel="0" collapsed="false">
      <c r="A35" s="35" t="s">
        <v>374</v>
      </c>
    </row>
    <row r="36" customFormat="false" ht="15" hidden="false" customHeight="true" outlineLevel="0" collapsed="false">
      <c r="A36" s="35" t="s">
        <v>375</v>
      </c>
    </row>
    <row r="37" customFormat="false" ht="15" hidden="false" customHeight="true" outlineLevel="0" collapsed="false">
      <c r="A37" s="35" t="s">
        <v>376</v>
      </c>
    </row>
    <row r="38" customFormat="false" ht="15" hidden="false" customHeight="true" outlineLevel="0" collapsed="false">
      <c r="A38" s="35" t="s">
        <v>377</v>
      </c>
    </row>
    <row r="39" customFormat="false" ht="15" hidden="false" customHeight="true" outlineLevel="0" collapsed="false">
      <c r="A39" s="35" t="s">
        <v>378</v>
      </c>
    </row>
    <row r="40" customFormat="false" ht="15" hidden="false" customHeight="true" outlineLevel="0" collapsed="false">
      <c r="A40" s="35" t="s">
        <v>372</v>
      </c>
    </row>
    <row r="42" customFormat="false" ht="15" hidden="false" customHeight="true" outlineLevel="0" collapsed="false">
      <c r="A42" s="34" t="s">
        <v>379</v>
      </c>
    </row>
    <row r="43" customFormat="false" ht="15" hidden="false" customHeight="true" outlineLevel="0" collapsed="false">
      <c r="A43" s="35" t="s">
        <v>380</v>
      </c>
    </row>
    <row r="44" customFormat="false" ht="15" hidden="false" customHeight="true" outlineLevel="0" collapsed="false">
      <c r="A44" s="35" t="s">
        <v>381</v>
      </c>
    </row>
    <row r="45" customFormat="false" ht="15" hidden="false" customHeight="true" outlineLevel="0" collapsed="false">
      <c r="A45" s="35" t="s">
        <v>382</v>
      </c>
    </row>
    <row r="47" customFormat="false" ht="15" hidden="false" customHeight="true" outlineLevel="0" collapsed="false">
      <c r="A47" s="34" t="s">
        <v>383</v>
      </c>
    </row>
    <row r="48" customFormat="false" ht="15" hidden="false" customHeight="true" outlineLevel="0" collapsed="false">
      <c r="A48" s="35" t="s">
        <v>384</v>
      </c>
    </row>
    <row r="49" customFormat="false" ht="15" hidden="false" customHeight="true" outlineLevel="0" collapsed="false">
      <c r="A49" s="35" t="s">
        <v>385</v>
      </c>
    </row>
    <row r="51" customFormat="false" ht="15" hidden="false" customHeight="true" outlineLevel="0" collapsed="false">
      <c r="A51" s="34" t="s">
        <v>386</v>
      </c>
    </row>
    <row r="52" customFormat="false" ht="15" hidden="false" customHeight="true" outlineLevel="0" collapsed="false">
      <c r="A52" s="35" t="s">
        <v>387</v>
      </c>
    </row>
    <row r="53" customFormat="false" ht="15" hidden="false" customHeight="true" outlineLevel="0" collapsed="false">
      <c r="A53" s="35" t="s">
        <v>388</v>
      </c>
    </row>
    <row r="54" customFormat="false" ht="15" hidden="false" customHeight="true" outlineLevel="0" collapsed="false">
      <c r="A54" s="35" t="s">
        <v>389</v>
      </c>
    </row>
    <row r="56" customFormat="false" ht="15" hidden="false" customHeight="true" outlineLevel="0" collapsed="false">
      <c r="A56" s="34" t="s">
        <v>390</v>
      </c>
    </row>
    <row r="57" customFormat="false" ht="15" hidden="false" customHeight="true" outlineLevel="0" collapsed="false">
      <c r="A57" s="35" t="s">
        <v>391</v>
      </c>
    </row>
    <row r="58" customFormat="false" ht="15" hidden="false" customHeight="true" outlineLevel="0" collapsed="false">
      <c r="A58" s="35" t="s">
        <v>392</v>
      </c>
    </row>
    <row r="59" customFormat="false" ht="15" hidden="false" customHeight="true" outlineLevel="0" collapsed="false">
      <c r="A59" s="35" t="s">
        <v>393</v>
      </c>
    </row>
    <row r="60" customFormat="false" ht="15" hidden="false" customHeight="true" outlineLevel="0" collapsed="false">
      <c r="A60" s="35" t="s">
        <v>394</v>
      </c>
    </row>
    <row r="61" customFormat="false" ht="15" hidden="false" customHeight="true" outlineLevel="0" collapsed="false">
      <c r="A61" s="35" t="s">
        <v>395</v>
      </c>
    </row>
    <row r="62" customFormat="false" ht="15" hidden="false" customHeight="true" outlineLevel="0" collapsed="false">
      <c r="A62" s="35" t="s">
        <v>396</v>
      </c>
    </row>
    <row r="63" customFormat="false" ht="15" hidden="false" customHeight="true" outlineLevel="0" collapsed="false">
      <c r="A63" s="35" t="s">
        <v>397</v>
      </c>
    </row>
    <row r="65" customFormat="false" ht="15" hidden="false" customHeight="true" outlineLevel="0" collapsed="false">
      <c r="A65" s="34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95"/>
  </cols>
  <sheetData>
    <row r="1" customFormat="false" ht="15" hidden="false" customHeight="true" outlineLevel="0" collapsed="false">
      <c r="A1" s="36" t="s">
        <v>399</v>
      </c>
      <c r="B1" s="36" t="s">
        <v>400</v>
      </c>
      <c r="C1" s="36" t="s">
        <v>401</v>
      </c>
    </row>
    <row r="2" customFormat="false" ht="63.75" hidden="false" customHeight="true" outlineLevel="0" collapsed="false">
      <c r="A2" s="7" t="s">
        <v>263</v>
      </c>
      <c r="B2" s="37" t="s">
        <v>402</v>
      </c>
      <c r="C2" s="7" t="s">
        <v>403</v>
      </c>
    </row>
    <row r="3" customFormat="false" ht="63.75" hidden="false" customHeight="true" outlineLevel="0" collapsed="false">
      <c r="A3" s="7" t="s">
        <v>263</v>
      </c>
      <c r="B3" s="37" t="s">
        <v>404</v>
      </c>
      <c r="C3" s="7" t="s">
        <v>405</v>
      </c>
    </row>
    <row r="4" customFormat="false" ht="63.75" hidden="false" customHeight="true" outlineLevel="0" collapsed="false">
      <c r="A4" s="7" t="s">
        <v>263</v>
      </c>
      <c r="B4" s="37" t="s">
        <v>406</v>
      </c>
      <c r="C4" s="7" t="s">
        <v>407</v>
      </c>
    </row>
    <row r="5" customFormat="false" ht="63.75" hidden="false" customHeight="true" outlineLevel="0" collapsed="false">
      <c r="A5" s="7" t="s">
        <v>263</v>
      </c>
      <c r="B5" s="37" t="s">
        <v>408</v>
      </c>
      <c r="C5" s="7" t="s">
        <v>409</v>
      </c>
    </row>
    <row r="6" customFormat="false" ht="63.75" hidden="false" customHeight="true" outlineLevel="0" collapsed="false">
      <c r="A6" s="7" t="s">
        <v>263</v>
      </c>
      <c r="B6" s="37" t="s">
        <v>410</v>
      </c>
      <c r="C6" s="7" t="s">
        <v>411</v>
      </c>
    </row>
    <row r="7" customFormat="false" ht="63.75" hidden="false" customHeight="true" outlineLevel="0" collapsed="false">
      <c r="A7" s="7" t="s">
        <v>263</v>
      </c>
      <c r="B7" s="37" t="s">
        <v>412</v>
      </c>
      <c r="C7" s="7" t="s">
        <v>413</v>
      </c>
    </row>
    <row r="8" customFormat="false" ht="63.75" hidden="false" customHeight="true" outlineLevel="0" collapsed="false">
      <c r="A8" s="7" t="s">
        <v>263</v>
      </c>
      <c r="B8" s="37" t="s">
        <v>414</v>
      </c>
      <c r="C8" s="7" t="s">
        <v>415</v>
      </c>
    </row>
    <row r="9" customFormat="false" ht="63.75" hidden="false" customHeight="true" outlineLevel="0" collapsed="false">
      <c r="A9" s="7" t="s">
        <v>263</v>
      </c>
      <c r="B9" s="37" t="s">
        <v>416</v>
      </c>
      <c r="C9" s="7" t="s">
        <v>417</v>
      </c>
    </row>
    <row r="10" customFormat="false" ht="63.75" hidden="false" customHeight="true" outlineLevel="0" collapsed="false">
      <c r="A10" s="7" t="s">
        <v>263</v>
      </c>
      <c r="B10" s="37" t="s">
        <v>418</v>
      </c>
      <c r="C10" s="7" t="s">
        <v>419</v>
      </c>
    </row>
    <row r="11" customFormat="false" ht="63.75" hidden="false" customHeight="true" outlineLevel="0" collapsed="false">
      <c r="A11" s="7" t="s">
        <v>263</v>
      </c>
      <c r="B11" s="37" t="s">
        <v>420</v>
      </c>
      <c r="C11" s="7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2026-08-01T02:32:09Z</dcterms:created>
  <dc:creator>openpyxl</dc:creator>
  <dc:description/>
  <dc:language>en-US</dc:language>
  <cp:lastModifiedBy/>
  <dcterms:modified xsi:type="dcterms:W3CDTF">2026-08-01T15:03:56Z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